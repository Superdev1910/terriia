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9bbc16b0584a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 de pruebas" sheetId="1" r:id="Rb0e7e9dbea14432f"/>
    <x:sheet xmlns:r="http://schemas.openxmlformats.org/officeDocument/2006/relationships" name="Resumen" sheetId="2" r:id="R3d06426b7d074f14"/>
    <x:sheet xmlns:r="http://schemas.openxmlformats.org/officeDocument/2006/relationships" name="Trazabilidad" sheetId="3" r:id="R0ccb8828bae24056"/>
    <x:sheet xmlns:r="http://schemas.openxmlformats.org/officeDocument/2006/relationships" name="Instrucciones" sheetId="4" r:id="R5152566aab274f68"/>
    <x:sheet xmlns:r="http://schemas.openxmlformats.org/officeDocument/2006/relationships" name="Ejecución 22-10-2026" sheetId="5" r:id="Rcea7745df9ec40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7">
    <x:font>
      <x:sz val="11"/>
      <x:name val="Carlito"/>
    </x:font>
    <x:font>
      <x:b/>
      <x:sz val="16"/>
      <x:color rgb="FFFFFFFF"/>
      <x:name val="Carlito"/>
    </x:font>
    <x:font>
      <x:sz val="10"/>
      <x:color rgb="FF284A66"/>
      <x:name val="Carlito"/>
    </x:font>
    <x:font>
      <x:b/>
      <x:sz val="10"/>
      <x:color rgb="FFFFFFFF"/>
      <x:name val="Carlito"/>
    </x:font>
    <x:font>
      <x:sz val="10"/>
      <x:color rgb="FF233745"/>
      <x:name val="Carlito"/>
    </x:font>
    <x:font>
      <x:b/>
      <x:sz val="17"/>
      <x:color rgb="FFFFFFFF"/>
      <x:name val="Carlito"/>
    </x:font>
    <x:font>
      <x:sz val="11"/>
      <x:color rgb="FF284A66"/>
      <x:name val="Carlito"/>
    </x:font>
    <x:font>
      <x:b/>
      <x:sz val="11"/>
      <x:color rgb="FFFFFFFF"/>
      <x:name val="Carlito"/>
    </x:font>
    <x:font>
      <x:b/>
      <x:sz val="19"/>
      <x:color rgb="FF17647A"/>
      <x:name val="Carlito"/>
    </x:font>
    <x:font>
      <x:sz val="10"/>
      <x:name val="Carlito"/>
    </x:font>
    <x:font>
      <x:b/>
      <x:sz val="15"/>
      <x:color rgb="FFFFFFFF"/>
      <x:name val="Carlito"/>
    </x:font>
    <x:font>
      <x:sz val="10"/>
      <x:color rgb="FF526179"/>
      <x:name val="Carlito"/>
    </x:font>
    <x:font>
      <x:b/>
      <x:sz val="11"/>
      <x:color rgb="FF14253D"/>
      <x:name val="Carlito"/>
    </x:font>
    <x:font>
      <x:sz val="11"/>
      <x:color rgb="FF7A4C0D"/>
      <x:name val="Carlito"/>
    </x:font>
    <x:font>
      <x:sz val="11"/>
      <x:color rgb="FF2862A4"/>
      <x:name val="Carlito"/>
    </x:font>
    <x:font>
      <x:sz val="10"/>
      <x:color rgb="FF31445C"/>
      <x:name val="Carlito"/>
    </x:font>
    <x:font>
      <x:b/>
      <x:sz val="18"/>
      <x:color rgb="FF136477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E7F0F7"/>
      </x:patternFill>
    </x:fill>
    <x:fill>
      <x:patternFill patternType="solid">
        <x:fgColor rgb="FF17647A"/>
      </x:patternFill>
    </x:fill>
    <x:fill>
      <x:patternFill patternType="solid">
        <x:fgColor rgb="FFF5F8FA"/>
      </x:patternFill>
    </x:fill>
    <x:fill>
      <x:patternFill patternType="solid">
        <x:fgColor rgb="FFEAF5F0"/>
      </x:patternFill>
    </x:fill>
    <x:fill>
      <x:patternFill patternType="solid">
        <x:fgColor rgb="FF14253D"/>
      </x:patternFill>
    </x:fill>
    <x:fill>
      <x:patternFill patternType="solid">
        <x:fgColor rgb="FFEAF0F8"/>
      </x:patternFill>
    </x:fill>
    <x:fill>
      <x:patternFill patternType="solid">
        <x:fgColor rgb="FF0D6E7A"/>
      </x:patternFill>
    </x:fill>
    <x:fill>
      <x:patternFill patternType="solid">
        <x:fgColor rgb="FFDFF1F0"/>
      </x:patternFill>
    </x:fill>
    <x:fill>
      <x:patternFill patternType="solid">
        <x:fgColor rgb="FFFFF3D6"/>
      </x:patternFill>
    </x:fill>
    <x:fill>
      <x:patternFill patternType="solid">
        <x:fgColor rgb="FF136477"/>
      </x:patternFill>
    </x:fill>
    <x:fill>
      <x:patternFill patternType="solid">
        <x:fgColor rgb="FFE8F6F4"/>
      </x:patternFill>
    </x:fill>
  </x:fills>
  <x:borders count="2">
    <x:border/>
    <x:border/>
  </x:borders>
  <x:cellStyleXfs count="1">
    <x:xf numFmtId="0" fontId="0" fillId="0" borderId="0"/>
  </x:cellStyleXfs>
  <x:cellXfs count="8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1" xfId="0" applyNumberFormat="1" applyFont="1" applyFill="1" applyBorder="1"/>
    <x:xf numFmtId="0" fontId="7" fillId="4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horizontal="center"/>
    </x:xf>
    <x:xf numFmtId="0" fontId="8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8" fillId="6" borderId="1" xfId="0" applyNumberFormat="1" applyFont="1" applyFill="1" applyBorder="1"/>
    <x:xf numFmtId="0" fontId="8" fillId="6" borderId="1" xfId="0" applyNumberFormat="1" applyFont="1" applyFill="1" applyBorder="1" applyAlignment="1">
      <x:alignment horizontal="center"/>
    </x:xf>
    <x:xf numFmtId="0" fontId="8" fillId="6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wrapText="1"/>
    </x:xf>
    <x:xf numFmtId="0" fontId="10" fillId="2" borderId="0" xfId="0" applyNumberFormat="1" applyFont="1" applyFill="1" applyBorder="1"/>
    <x:xf numFmtId="0" fontId="10" fillId="2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11" fillId="8" borderId="0" xfId="0" applyNumberFormat="1" applyFont="1" applyFill="1" applyBorder="1"/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 applyAlignment="1">
      <x:alignment wrapText="1"/>
    </x:xf>
    <x:xf numFmtId="0" fontId="12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13" fillId="11" borderId="0" xfId="0" applyNumberFormat="1" applyFont="1" applyFill="1" applyBorder="1"/>
    <x:xf numFmtId="0" fontId="14" fillId="0" borderId="0" xfId="0" applyNumberFormat="1" applyFont="1" applyFill="1" applyBorder="1"/>
    <x:xf numFmtId="0" fontId="5" fillId="7" borderId="0" xfId="0" applyNumberFormat="1" applyFont="1" applyFill="1" applyBorder="1"/>
    <x:xf numFmtId="0" fontId="6" fillId="8" borderId="0" xfId="0" applyNumberFormat="1" applyFont="1" applyFill="1" applyBorder="1"/>
    <x:xf numFmtId="0" fontId="15" fillId="8" borderId="0" xfId="0" applyNumberFormat="1" applyFont="1" applyFill="1" applyBorder="1"/>
    <x:xf numFmtId="0" fontId="15" fillId="8" borderId="0" xfId="0" applyNumberFormat="1" applyFont="1" applyFill="1" applyBorder="1" applyAlignment="1">
      <x:alignment wrapText="1"/>
    </x:xf>
    <x:xf numFmtId="0" fontId="15" fillId="8" borderId="0" xfId="0" applyNumberFormat="1" applyFont="1" applyFill="1" applyBorder="1" applyAlignment="1">
      <x:alignment vertical="center" wrapText="1"/>
    </x:xf>
    <x:xf numFmtId="0" fontId="7" fillId="12" borderId="0" xfId="0" applyNumberFormat="1" applyFont="1" applyFill="1" applyBorder="1" applyAlignment="1">
      <x:alignment wrapText="1"/>
    </x:xf>
    <x:xf numFmtId="0" fontId="3" fillId="12" borderId="0" xfId="0" applyNumberFormat="1" applyFont="1" applyFill="1" applyBorder="1" applyAlignment="1">
      <x:alignment wrapText="1"/>
    </x:xf>
    <x:xf numFmtId="0" fontId="3" fillId="12" borderId="0" xfId="0" applyNumberFormat="1" applyFont="1" applyFill="1" applyBorder="1" applyAlignment="1">
      <x:alignment vertical="center" wrapText="1"/>
    </x:xf>
    <x:xf numFmtId="0" fontId="8" fillId="13" borderId="0" xfId="0" applyNumberFormat="1" applyFont="1" applyFill="1" applyBorder="1" applyAlignment="1">
      <x:alignment horizontal="center" vertical="center"/>
    </x:xf>
    <x:xf numFmtId="0" fontId="16" fillId="13" borderId="0" xfId="0" applyNumberFormat="1" applyFont="1" applyFill="1" applyBorder="1" applyAlignment="1">
      <x:alignment horizontal="center" vertical="center"/>
    </x:xf>
    <x:xf numFmtId="0" fontId="7" fillId="12" borderId="0" xfId="0" applyNumberFormat="1" applyFont="1" applyFill="1" applyBorder="1"/>
    <x:xf numFmtId="0" fontId="3" fillId="12" borderId="0" xfId="0" applyNumberFormat="1" applyFont="1" applyFill="1" applyBorder="1"/>
  </x:cellXfs>
  <x:cellStyles count="1">
    <x:cellStyle name="Normal" xfId="0"/>
  </x:cellStyles>
  <x:dxfs count="4">
    <x:dxf>
      <x:fill>
        <x:patternFill>
          <x:bgColor rgb="FFD8F1E5"/>
        </x:patternFill>
      </x:fill>
    </x:dxf>
    <x:dxf>
      <x:fill>
        <x:patternFill>
          <x:bgColor rgb="FFFFF1D2"/>
        </x:patternFill>
      </x:fill>
    </x:dxf>
    <x:dxf>
      <x:fill>
        <x:patternFill>
          <x:bgColor rgb="FFFCE1E1"/>
        </x:patternFill>
      </x:fill>
    </x:dxf>
    <x:dxf>
      <x:fill>
        <x:patternFill>
          <x:bgColor rgb="FFFCD6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dee52413df4c9e" /><Relationship Type="http://schemas.openxmlformats.org/officeDocument/2006/relationships/theme" Target="/xl/theme/theme1.xml" Id="R2323f481d42c4d63" /><Relationship Type="http://schemas.openxmlformats.org/officeDocument/2006/relationships/sharedStrings" Target="/xl/sharedStrings.xml" Id="R689a1418b8e44e63" /><Relationship Type="http://schemas.openxmlformats.org/officeDocument/2006/relationships/worksheet" Target="/xl/worksheets/sheet1.xml" Id="Rb0e7e9dbea14432f" /><Relationship Type="http://schemas.openxmlformats.org/officeDocument/2006/relationships/worksheet" Target="/xl/worksheets/sheet2.xml" Id="R3d06426b7d074f14" /><Relationship Type="http://schemas.openxmlformats.org/officeDocument/2006/relationships/worksheet" Target="/xl/worksheets/sheet3.xml" Id="R0ccb8828bae24056" /><Relationship Type="http://schemas.openxmlformats.org/officeDocument/2006/relationships/worksheet" Target="/xl/worksheets/sheet4.xml" Id="R5152566aab274f68" /><Relationship Type="http://schemas.openxmlformats.org/officeDocument/2006/relationships/worksheet" Target="/xl/worksheets/sheet5.xml" Id="Rcea7745df9ec4024" /></Relationships>
</file>

<file path=xl/tables/table1.xml><?xml version="1.0" encoding="utf-8"?>
<x:table xmlns:x="http://schemas.openxmlformats.org/spreadsheetml/2006/main" id="1" name="TablaPlanPruebas" displayName="TablaPlanPruebas" ref="A5:J128" headerRowCount="1" totalsRowCount="0" totalsRowShown="0">
  <x:tableColumns count="10">
    <x:tableColumn id="1" name="ID"/>
    <x:tableColumn id="2" name="Nombre"/>
    <x:tableColumn id="3" name="Tipo"/>
    <x:tableColumn id="4" name="HU"/>
    <x:tableColumn id="5" name="Responsable"/>
    <x:tableColumn id="6" name="Fecha"/>
    <x:tableColumn id="7" name="Resultado esperado"/>
    <x:tableColumn id="8" name="Resultado obtenido"/>
    <x:tableColumn id="9" name="Observaciones"/>
    <x:tableColumn id="10" name="Esta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38aee6dde72407d" /></Relationships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39" hidden="0" customWidth="1"/>
    <x:col min="3" max="3" width="17" hidden="0" customWidth="1"/>
    <x:col min="4" max="4" width="17" hidden="0" customWidth="1"/>
    <x:col min="5" max="5" width="17" hidden="0" customWidth="1"/>
    <x:col min="6" max="6" width="14" hidden="0" customWidth="1"/>
    <x:col min="7" max="7" width="46" hidden="0" customWidth="1"/>
    <x:col min="8" max="8" width="37" hidden="0" customWidth="1"/>
    <x:col min="9" max="9" width="62" hidden="0" customWidth="1"/>
    <x:col min="10" max="10" width="17" hidden="0" customWidth="1"/>
  </x:cols>
  <x:sheetData>
    <x:row r="1" ht="24" customHeight="1">
      <x:c r="A1" s="4" t="str">
        <x:v>TERRIIA  ·  PLAN DE PRUEBAS  ·  SCRUM-57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4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24" customHeight="1">
      <x:c r="A3" s="9" t="str">
        <x:v>Actualizado con ejecución local de Copilot sobre develop (22-10-2026): 210 pruebas OK; 113 casos documentados aprobados; 10 casos aún sin implementar.</x:v>
      </x:c>
      <x:c r="B3" s="9"/>
      <x:c r="C3" s="9"/>
      <x:c r="D3" s="9"/>
      <x:c r="E3" s="9"/>
      <x:c r="F3" s="9"/>
      <x:c r="G3" s="9"/>
      <x:c r="H3" s="9"/>
      <x:c r="I3" s="9"/>
      <x:c r="J3" s="9"/>
    </x:row>
    <x:row r="5" ht="40" customHeight="1">
      <x:c r="A5" s="15" t="str">
        <x:v>ID</x:v>
      </x:c>
      <x:c r="B5" s="15" t="str">
        <x:v>Nombre</x:v>
      </x:c>
      <x:c r="C5" s="15" t="str">
        <x:v>Tipo</x:v>
      </x:c>
      <x:c r="D5" s="15" t="str">
        <x:v>HU</x:v>
      </x:c>
      <x:c r="E5" s="15" t="str">
        <x:v>Responsable</x:v>
      </x:c>
      <x:c r="F5" s="15" t="str">
        <x:v>Fecha</x:v>
      </x:c>
      <x:c r="G5" s="15" t="str">
        <x:v>Resultado esperado</x:v>
      </x:c>
      <x:c r="H5" s="15" t="str">
        <x:v>Resultado obtenido</x:v>
      </x:c>
      <x:c r="I5" s="15" t="str">
        <x:v>Observaciones</x:v>
      </x:c>
      <x:c r="J5" s="15" t="str">
        <x:v>Estado</x:v>
      </x:c>
    </x:row>
    <x:row r="6" ht="43" customHeight="1">
      <x:c r="A6" s="26" t="str">
        <x:v>PU-DEL-01</x:v>
      </x:c>
      <x:c r="B6" s="26" t="str">
        <x:v>Crear genera cuatro areas</x:v>
      </x:c>
      <x:c r="C6" s="26" t="str">
        <x:v>Caja blanca</x:v>
      </x:c>
      <x:c r="D6" s="26" t="str">
        <x:v>HU17</x:v>
      </x:c>
      <x:c r="E6" s="26" t="str">
        <x:v>Brian</x:v>
      </x:c>
      <x:c r="F6" s="26" t="str">
        <x:v>22-10-2026</x:v>
      </x:c>
      <x:c r="G6" s="26" t="str">
        <x:v>El alta o flujo completo concluye con datos relacionados válidos.</x:v>
      </x:c>
      <x:c r="H6" s="26" t="str">
        <x:v>OK — suite organizacion: 127 pruebas aprobadas, 0 fallidas.</x:v>
      </x:c>
      <x:c r="I6" s="26" t="str">
        <x:v>organizacion/tests/test_delegacion.py · test_crear_genera_cuatro_areas · Revalidada en develop; suite general 210/210 OK (reporte Copilot).</x:v>
      </x:c>
      <x:c r="J6" s="26" t="str">
        <x:v>Aprobada</x:v>
      </x:c>
    </x:row>
    <x:row r="7" ht="43" customHeight="1">
      <x:c r="A7" s="22" t="str">
        <x:v>PU-DEL-02</x:v>
      </x:c>
      <x:c r="B7" s="22" t="str">
        <x:v>Editar no duplica areas</x:v>
      </x:c>
      <x:c r="C7" s="22" t="str">
        <x:v>Caja blanca</x:v>
      </x:c>
      <x:c r="D7" s="22" t="str">
        <x:v>HU17</x:v>
      </x:c>
      <x:c r="E7" s="22" t="str">
        <x:v>Brian</x:v>
      </x:c>
      <x:c r="F7" s="22" t="str">
        <x:v>22-10-2026</x:v>
      </x:c>
      <x:c r="G7" s="22" t="str">
        <x:v>La actualización se realiza respetando restricciones de negocio.</x:v>
      </x:c>
      <x:c r="H7" s="22" t="str">
        <x:v>OK — suite organizacion: 127 pruebas aprobadas, 0 fallidas.</x:v>
      </x:c>
      <x:c r="I7" s="22" t="str">
        <x:v>organizacion/tests/test_delegacion.py · test_editar_no_duplica_areas · Revalidada en develop; suite general 210/210 OK (reporte Copilot).</x:v>
      </x:c>
      <x:c r="J7" s="22" t="str">
        <x:v>Aprobada</x:v>
      </x:c>
    </x:row>
    <x:row r="8" ht="43" customHeight="1">
      <x:c r="A8" s="26" t="str">
        <x:v>PU-DEL-03</x:v>
      </x:c>
      <x:c r="B8" s="26" t="str">
        <x:v>Codigo duplicado sin distinguir mayusculas</x:v>
      </x:c>
      <x:c r="C8" s="26" t="str">
        <x:v>Caja blanca</x:v>
      </x:c>
      <x:c r="D8" s="26" t="str">
        <x:v>HU17</x:v>
      </x:c>
      <x:c r="E8" s="26" t="str">
        <x:v>Brian</x:v>
      </x:c>
      <x:c r="F8" s="26" t="str">
        <x:v>22-10-2026</x:v>
      </x:c>
      <x:c r="G8" s="26" t="str">
        <x:v>Validación impide el dato duplicado, inválido o incompatible.</x:v>
      </x:c>
      <x:c r="H8" s="26" t="str">
        <x:v>OK — suite organizacion: 127 pruebas aprobadas, 0 fallidas.</x:v>
      </x:c>
      <x:c r="I8" s="26" t="str">
        <x:v>organizacion/tests/test_delegacion.py · test_codigo_duplicado_sin_distinguir_mayusculas · Revalidada en develop; suite general 210/210 OK (reporte Copilot).</x:v>
      </x:c>
      <x:c r="J8" s="26" t="str">
        <x:v>Aprobada</x:v>
      </x:c>
    </x:row>
    <x:row r="9" ht="43" customHeight="1">
      <x:c r="A9" s="22" t="str">
        <x:v>PU-DEL-04</x:v>
      </x:c>
      <x:c r="B9" s="22" t="str">
        <x:v>Nombre duplicado</x:v>
      </x:c>
      <x:c r="C9" s="22" t="str">
        <x:v>Caja blanca</x:v>
      </x:c>
      <x:c r="D9" s="22" t="str">
        <x:v>HU17</x:v>
      </x:c>
      <x:c r="E9" s="22" t="str">
        <x:v>Brian</x:v>
      </x:c>
      <x:c r="F9" s="22" t="str">
        <x:v>22-10-2026</x:v>
      </x:c>
      <x:c r="G9" s="22" t="str">
        <x:v>Validación impide el dato duplicado, inválido o incompatible.</x:v>
      </x:c>
      <x:c r="H9" s="22" t="str">
        <x:v>OK — suite organizacion: 127 pruebas aprobadas, 0 fallidas.</x:v>
      </x:c>
      <x:c r="I9" s="22" t="str">
        <x:v>organizacion/tests/test_delegacion.py · test_nombre_duplicado · Revalidada en develop; suite general 210/210 OK (reporte Copilot).</x:v>
      </x:c>
      <x:c r="J9" s="22" t="str">
        <x:v>Aprobada</x:v>
      </x:c>
    </x:row>
    <x:row r="10" ht="43" customHeight="1">
      <x:c r="A10" s="26" t="str">
        <x:v>PU-DEL-05</x:v>
      </x:c>
      <x:c r="B10" s="26" t="str">
        <x:v>Codigo obligatorio</x:v>
      </x:c>
      <x:c r="C10" s="26" t="str">
        <x:v>Caja blanca</x:v>
      </x:c>
      <x:c r="D10" s="26" t="str">
        <x:v>HU17</x:v>
      </x:c>
      <x:c r="E10" s="26" t="str">
        <x:v>Brian</x:v>
      </x:c>
      <x:c r="F10" s="26" t="str">
        <x:v>22-10-2026</x:v>
      </x:c>
      <x:c r="G10" s="26" t="str">
        <x:v>Se verifica el escenario y las aserciones definidas en el test.</x:v>
      </x:c>
      <x:c r="H10" s="26" t="str">
        <x:v>OK — suite organizacion: 127 pruebas aprobadas, 0 fallidas.</x:v>
      </x:c>
      <x:c r="I10" s="26" t="str">
        <x:v>organizacion/tests/test_delegacion.py · test_codigo_obligatorio · Revalidada en develop; suite general 210/210 OK (reporte Copilot).</x:v>
      </x:c>
      <x:c r="J10" s="26" t="str">
        <x:v>Aprobada</x:v>
      </x:c>
    </x:row>
    <x:row r="11" ht="43" customHeight="1">
      <x:c r="A11" s="22" t="str">
        <x:v>PU-DEL-06</x:v>
      </x:c>
      <x:c r="B11" s="22" t="str">
        <x:v>Nombre solo espacios</x:v>
      </x:c>
      <x:c r="C11" s="22" t="str">
        <x:v>Caja blanca</x:v>
      </x:c>
      <x:c r="D11" s="22" t="str">
        <x:v>HU17</x:v>
      </x:c>
      <x:c r="E11" s="22" t="str">
        <x:v>Brian</x:v>
      </x:c>
      <x:c r="F11" s="22" t="str">
        <x:v>22-10-2026</x:v>
      </x:c>
      <x:c r="G11" s="22" t="str">
        <x:v>Se verifica el escenario y las aserciones definidas en el test.</x:v>
      </x:c>
      <x:c r="H11" s="22" t="str">
        <x:v>OK — suite organizacion: 127 pruebas aprobadas, 0 fallidas.</x:v>
      </x:c>
      <x:c r="I11" s="22" t="str">
        <x:v>organizacion/tests/test_delegacion.py · test_nombre_solo_espacios · Revalidada en develop; suite general 210/210 OK (reporte Copilot).</x:v>
      </x:c>
      <x:c r="J11" s="22" t="str">
        <x:v>Aprobada</x:v>
      </x:c>
    </x:row>
    <x:row r="12" ht="43" customHeight="1">
      <x:c r="A12" s="26" t="str">
        <x:v>PU-DEL-07</x:v>
      </x:c>
      <x:c r="B12" s="26" t="str">
        <x:v>Longitud maxima codigo</x:v>
      </x:c>
      <x:c r="C12" s="26" t="str">
        <x:v>Caja blanca</x:v>
      </x:c>
      <x:c r="D12" s="26" t="str">
        <x:v>HU17</x:v>
      </x:c>
      <x:c r="E12" s="26" t="str">
        <x:v>Brian</x:v>
      </x:c>
      <x:c r="F12" s="26" t="str">
        <x:v>22-10-2026</x:v>
      </x:c>
      <x:c r="G12" s="26" t="str">
        <x:v>Se verifica el escenario y las aserciones definidas en el test.</x:v>
      </x:c>
      <x:c r="H12" s="26" t="str">
        <x:v>OK — suite organizacion: 127 pruebas aprobadas, 0 fallidas.</x:v>
      </x:c>
      <x:c r="I12" s="26" t="str">
        <x:v>organizacion/tests/test_delegacion.py · test_longitud_maxima_codigo · Revalidada en develop; suite general 210/210 OK (reporte Copilot).</x:v>
      </x:c>
      <x:c r="J12" s="26" t="str">
        <x:v>Aprobada</x:v>
      </x:c>
    </x:row>
    <x:row r="13" ht="43" customHeight="1">
      <x:c r="A13" s="22" t="str">
        <x:v>PU-DEL-08</x:v>
      </x:c>
      <x:c r="B13" s="22" t="str">
        <x:v>Editar conservando su propio codigo</x:v>
      </x:c>
      <x:c r="C13" s="22" t="str">
        <x:v>Caja blanca</x:v>
      </x:c>
      <x:c r="D13" s="22" t="str">
        <x:v>HU17</x:v>
      </x:c>
      <x:c r="E13" s="22" t="str">
        <x:v>Brian</x:v>
      </x:c>
      <x:c r="F13" s="22" t="str">
        <x:v>22-10-2026</x:v>
      </x:c>
      <x:c r="G13" s="22" t="str">
        <x:v>La actualización se realiza respetando restricciones de negocio.</x:v>
      </x:c>
      <x:c r="H13" s="22" t="str">
        <x:v>OK — suite organizacion: 127 pruebas aprobadas, 0 fallidas.</x:v>
      </x:c>
      <x:c r="I13" s="22" t="str">
        <x:v>organizacion/tests/test_delegacion.py · test_editar_conservando_su_propio_codigo · Revalidada en develop; suite general 210/210 OK (reporte Copilot).</x:v>
      </x:c>
      <x:c r="J13" s="22" t="str">
        <x:v>Aprobada</x:v>
      </x:c>
    </x:row>
    <x:row r="14" ht="43" customHeight="1">
      <x:c r="A14" s="26" t="str">
        <x:v>PU-DEL-09</x:v>
      </x:c>
      <x:c r="B14" s="26" t="str">
        <x:v>Desactivar conserva registro y areas</x:v>
      </x:c>
      <x:c r="C14" s="26" t="str">
        <x:v>Caja blanca</x:v>
      </x:c>
      <x:c r="D14" s="26" t="str">
        <x:v>HU17</x:v>
      </x:c>
      <x:c r="E14" s="26" t="str">
        <x:v>Brian</x:v>
      </x:c>
      <x:c r="F14" s="26" t="str">
        <x:v>22-10-2026</x:v>
      </x:c>
      <x:c r="G14" s="26" t="str">
        <x:v>La desactivación cambia el estado sin borrar físicamente.</x:v>
      </x:c>
      <x:c r="H14" s="26" t="str">
        <x:v>OK — suite organizacion: 127 pruebas aprobadas, 0 fallidas.</x:v>
      </x:c>
      <x:c r="I14" s="26" t="str">
        <x:v>organizacion/tests/test_delegacion.py · test_desactivar_conserva_registro_y_areas · Revalidada en develop; suite general 210/210 OK (reporte Copilot).</x:v>
      </x:c>
      <x:c r="J14" s="26" t="str">
        <x:v>Aprobada</x:v>
      </x:c>
    </x:row>
    <x:row r="15" ht="43" customHeight="1">
      <x:c r="A15" s="22" t="str">
        <x:v>PU-DEL-10</x:v>
      </x:c>
      <x:c r="B15" s="22" t="str">
        <x:v>No admin denegado</x:v>
      </x:c>
      <x:c r="C15" s="22" t="str">
        <x:v>Caja blanca</x:v>
      </x:c>
      <x:c r="D15" s="22" t="str">
        <x:v>HU17</x:v>
      </x:c>
      <x:c r="E15" s="22" t="str">
        <x:v>Brian</x:v>
      </x:c>
      <x:c r="F15" s="22" t="str">
        <x:v>22-10-2026</x:v>
      </x:c>
      <x:c r="G15" s="22" t="str">
        <x:v>Se impide la operación o acceso no autorizado.</x:v>
      </x:c>
      <x:c r="H15" s="22" t="str">
        <x:v>OK — suite organizacion: 127 pruebas aprobadas, 0 fallidas.</x:v>
      </x:c>
      <x:c r="I15" s="22" t="str">
        <x:v>organizacion/tests/test_delegacion.py · test_no_admin_denegado · Revalidada en develop; suite general 210/210 OK (reporte Copilot).</x:v>
      </x:c>
      <x:c r="J15" s="22" t="str">
        <x:v>Aprobada</x:v>
      </x:c>
    </x:row>
    <x:row r="16" ht="43" customHeight="1">
      <x:c r="A16" s="26" t="str">
        <x:v>PU-DEL-11</x:v>
      </x:c>
      <x:c r="B16" s="26" t="str">
        <x:v>Anonimo denegado</x:v>
      </x:c>
      <x:c r="C16" s="26" t="str">
        <x:v>Caja blanca</x:v>
      </x:c>
      <x:c r="D16" s="26" t="str">
        <x:v>HU17</x:v>
      </x:c>
      <x:c r="E16" s="26" t="str">
        <x:v>Brian</x:v>
      </x:c>
      <x:c r="F16" s="26" t="str">
        <x:v>22-10-2026</x:v>
      </x:c>
      <x:c r="G16" s="26" t="str">
        <x:v>Se impide la operación o acceso no autorizado.</x:v>
      </x:c>
      <x:c r="H16" s="26" t="str">
        <x:v>OK — suite organizacion: 127 pruebas aprobadas, 0 fallidas.</x:v>
      </x:c>
      <x:c r="I16" s="26" t="str">
        <x:v>organizacion/tests/test_delegacion.py · test_anonimo_denegado · Revalidada en develop; suite general 210/210 OK (reporte Copilot).</x:v>
      </x:c>
      <x:c r="J16" s="26" t="str">
        <x:v>Aprobada</x:v>
      </x:c>
    </x:row>
    <x:row r="17" ht="43" customHeight="1">
      <x:c r="A17" s="22" t="str">
        <x:v>PU-DEL-12</x:v>
      </x:c>
      <x:c r="B17" s="22" t="str">
        <x:v>Busqueda parcial en varios campos</x:v>
      </x:c>
      <x:c r="C17" s="22" t="str">
        <x:v>Caja blanca</x:v>
      </x:c>
      <x:c r="D17" s="22" t="str">
        <x:v>HU17</x:v>
      </x:c>
      <x:c r="E17" s="22" t="str">
        <x:v>Brian</x:v>
      </x:c>
      <x:c r="F17" s="22" t="str">
        <x:v>22-10-2026</x:v>
      </x:c>
      <x:c r="G17" s="22" t="str">
        <x:v>La consulta devuelve resultados de acuerdo con filtros y búsqueda.</x:v>
      </x:c>
      <x:c r="H17" s="22" t="str">
        <x:v>OK — suite organizacion: 127 pruebas aprobadas, 0 fallidas.</x:v>
      </x:c>
      <x:c r="I17" s="22" t="str">
        <x:v>organizacion/tests/test_delegacion.py · test_busqueda_parcial_en_varios_campos · Revalidada en develop; suite general 210/210 OK (reporte Copilot).</x:v>
      </x:c>
      <x:c r="J17" s="22" t="str">
        <x:v>Aprobada</x:v>
      </x:c>
    </x:row>
    <x:row r="18" ht="43" customHeight="1">
      <x:c r="A18" s="26" t="str">
        <x:v>PU-DEL-13</x:v>
      </x:c>
      <x:c r="B18" s="26" t="str">
        <x:v>Filtro estado y paginacion</x:v>
      </x:c>
      <x:c r="C18" s="26" t="str">
        <x:v>Caja blanca</x:v>
      </x:c>
      <x:c r="D18" s="26" t="str">
        <x:v>HU17</x:v>
      </x:c>
      <x:c r="E18" s="26" t="str">
        <x:v>Brian</x:v>
      </x:c>
      <x:c r="F18" s="26" t="str">
        <x:v>22-10-2026</x:v>
      </x:c>
      <x:c r="G18" s="26" t="str">
        <x:v>La consulta devuelve resultados de acuerdo con filtros y búsqueda.</x:v>
      </x:c>
      <x:c r="H18" s="26" t="str">
        <x:v>OK — suite organizacion: 127 pruebas aprobadas, 0 fallidas.</x:v>
      </x:c>
      <x:c r="I18" s="26" t="str">
        <x:v>organizacion/tests/test_delegacion.py · test_filtro_estado_y_paginacion · Revalidada en develop; suite general 210/210 OK (reporte Copilot).</x:v>
      </x:c>
      <x:c r="J18" s="26" t="str">
        <x:v>Aprobada</x:v>
      </x:c>
    </x:row>
    <x:row r="19" ht="43" customHeight="1">
      <x:c r="A19" s="22" t="str">
        <x:v>PU-ARE-01</x:v>
      </x:c>
      <x:c r="B19" s="22" t="str">
        <x:v>Crear</x:v>
      </x:c>
      <x:c r="C19" s="22" t="str">
        <x:v>Caja blanca</x:v>
      </x:c>
      <x:c r="D19" s="22" t="str">
        <x:v>HU17</x:v>
      </x:c>
      <x:c r="E19" s="22" t="str">
        <x:v>Brian</x:v>
      </x:c>
      <x:c r="F19" s="22" t="str">
        <x:v>22-10-2026</x:v>
      </x:c>
      <x:c r="G19" s="22" t="str">
        <x:v>El alta o flujo completo concluye con datos relacionados válidos.</x:v>
      </x:c>
      <x:c r="H19" s="22" t="str">
        <x:v>OK — suite organizacion: 127 pruebas aprobadas, 0 fallidas.</x:v>
      </x:c>
      <x:c r="I19" s="22" t="str">
        <x:v>organizacion/tests/test_area.py · test_crear · Revalidada en develop; suite general 210/210 OK (reporte Copilot).</x:v>
      </x:c>
      <x:c r="J19" s="22" t="str">
        <x:v>Aprobada</x:v>
      </x:c>
    </x:row>
    <x:row r="20" ht="43" customHeight="1">
      <x:c r="A20" s="26" t="str">
        <x:v>PU-ARE-02</x:v>
      </x:c>
      <x:c r="B20" s="26" t="str">
        <x:v>Editar prioridad</x:v>
      </x:c>
      <x:c r="C20" s="26" t="str">
        <x:v>Caja blanca</x:v>
      </x:c>
      <x:c r="D20" s="26" t="str">
        <x:v>HU17</x:v>
      </x:c>
      <x:c r="E20" s="26" t="str">
        <x:v>Brian</x:v>
      </x:c>
      <x:c r="F20" s="26" t="str">
        <x:v>22-10-2026</x:v>
      </x:c>
      <x:c r="G20" s="26" t="str">
        <x:v>La actualización se realiza respetando restricciones de negocio.</x:v>
      </x:c>
      <x:c r="H20" s="26" t="str">
        <x:v>OK — suite organizacion: 127 pruebas aprobadas, 0 fallidas.</x:v>
      </x:c>
      <x:c r="I20" s="26" t="str">
        <x:v>organizacion/tests/test_area.py · test_editar_prioridad · Revalidada en develop; suite general 210/210 OK (reporte Copilot).</x:v>
      </x:c>
      <x:c r="J20" s="26" t="str">
        <x:v>Aprobada</x:v>
      </x:c>
    </x:row>
    <x:row r="21" ht="43" customHeight="1">
      <x:c r="A21" s="22" t="str">
        <x:v>PU-ARE-03</x:v>
      </x:c>
      <x:c r="B21" s="22" t="str">
        <x:v>Editar sin chocar consigo misma</x:v>
      </x:c>
      <x:c r="C21" s="22" t="str">
        <x:v>Caja blanca</x:v>
      </x:c>
      <x:c r="D21" s="22" t="str">
        <x:v>HU17</x:v>
      </x:c>
      <x:c r="E21" s="22" t="str">
        <x:v>Brian</x:v>
      </x:c>
      <x:c r="F21" s="22" t="str">
        <x:v>22-10-2026</x:v>
      </x:c>
      <x:c r="G21" s="22" t="str">
        <x:v>La actualización se realiza respetando restricciones de negocio.</x:v>
      </x:c>
      <x:c r="H21" s="22" t="str">
        <x:v>OK — suite organizacion: 127 pruebas aprobadas, 0 fallidas.</x:v>
      </x:c>
      <x:c r="I21" s="22" t="str">
        <x:v>organizacion/tests/test_area.py · test_editar_sin_chocar_consigo_misma · Revalidada en develop; suite general 210/210 OK (reporte Copilot).</x:v>
      </x:c>
      <x:c r="J21" s="22" t="str">
        <x:v>Aprobada</x:v>
      </x:c>
    </x:row>
    <x:row r="22" ht="43" customHeight="1">
      <x:c r="A22" s="26" t="str">
        <x:v>PU-ARE-04</x:v>
      </x:c>
      <x:c r="B22" s="26" t="str">
        <x:v>Area repetida en la delegacion</x:v>
      </x:c>
      <x:c r="C22" s="26" t="str">
        <x:v>Caja blanca</x:v>
      </x:c>
      <x:c r="D22" s="26" t="str">
        <x:v>HU17</x:v>
      </x:c>
      <x:c r="E22" s="26" t="str">
        <x:v>Brian</x:v>
      </x:c>
      <x:c r="F22" s="26" t="str">
        <x:v>22-10-2026</x:v>
      </x:c>
      <x:c r="G22" s="26" t="str">
        <x:v>Validación impide el dato duplicado, inválido o incompatible.</x:v>
      </x:c>
      <x:c r="H22" s="26" t="str">
        <x:v>OK — suite organizacion: 127 pruebas aprobadas, 0 fallidas.</x:v>
      </x:c>
      <x:c r="I22" s="26" t="str">
        <x:v>organizacion/tests/test_area.py · test_area_repetida_en_la_delegacion · Revalidada en develop; suite general 210/210 OK (reporte Copilot).</x:v>
      </x:c>
      <x:c r="J22" s="26" t="str">
        <x:v>Aprobada</x:v>
      </x:c>
    </x:row>
    <x:row r="23" ht="43" customHeight="1">
      <x:c r="A23" s="22" t="str">
        <x:v>PU-ARE-05</x:v>
      </x:c>
      <x:c r="B23" s="22" t="str">
        <x:v>Prioridad repetida en la delegacion</x:v>
      </x:c>
      <x:c r="C23" s="22" t="str">
        <x:v>Caja blanca</x:v>
      </x:c>
      <x:c r="D23" s="22" t="str">
        <x:v>HU17</x:v>
      </x:c>
      <x:c r="E23" s="22" t="str">
        <x:v>Brian</x:v>
      </x:c>
      <x:c r="F23" s="22" t="str">
        <x:v>22-10-2026</x:v>
      </x:c>
      <x:c r="G23" s="22" t="str">
        <x:v>Validación impide el dato duplicado, inválido o incompatible.</x:v>
      </x:c>
      <x:c r="H23" s="22" t="str">
        <x:v>OK — suite organizacion: 127 pruebas aprobadas, 0 fallidas.</x:v>
      </x:c>
      <x:c r="I23" s="22" t="str">
        <x:v>organizacion/tests/test_area.py · test_prioridad_repetida_en_la_delegacion · Revalidada en develop; suite general 210/210 OK (reporte Copilot).</x:v>
      </x:c>
      <x:c r="J23" s="22" t="str">
        <x:v>Aprobada</x:v>
      </x:c>
    </x:row>
    <x:row r="24" ht="43" customHeight="1">
      <x:c r="A24" s="26" t="str">
        <x:v>PU-ARE-06</x:v>
      </x:c>
      <x:c r="B24" s="26" t="str">
        <x:v>Misma area y prioridad en otra delegacion es valido</x:v>
      </x:c>
      <x:c r="C24" s="26" t="str">
        <x:v>Caja blanca</x:v>
      </x:c>
      <x:c r="D24" s="26" t="str">
        <x:v>HU17</x:v>
      </x:c>
      <x:c r="E24" s="26" t="str">
        <x:v>Brian</x:v>
      </x:c>
      <x:c r="F24" s="26" t="str">
        <x:v>22-10-2026</x:v>
      </x:c>
      <x:c r="G24" s="26" t="str">
        <x:v>Se verifica el escenario y las aserciones definidas en el test.</x:v>
      </x:c>
      <x:c r="H24" s="26" t="str">
        <x:v>OK — suite organizacion: 127 pruebas aprobadas, 0 fallidas.</x:v>
      </x:c>
      <x:c r="I24" s="26" t="str">
        <x:v>organizacion/tests/test_area.py · test_misma_area_y_prioridad_en_otra_delegacion_es_valido · Revalidada en develop; suite general 210/210 OK (reporte Copilot).</x:v>
      </x:c>
      <x:c r="J24" s="26" t="str">
        <x:v>Aprobada</x:v>
      </x:c>
    </x:row>
    <x:row r="25" ht="43" customHeight="1">
      <x:c r="A25" s="22" t="str">
        <x:v>PU-ARE-07</x:v>
      </x:c>
      <x:c r="B25" s="22" t="str">
        <x:v>Prioridad fuera de rango</x:v>
      </x:c>
      <x:c r="C25" s="22" t="str">
        <x:v>Caja blanca</x:v>
      </x:c>
      <x:c r="D25" s="22" t="str">
        <x:v>HU17</x:v>
      </x:c>
      <x:c r="E25" s="22" t="str">
        <x:v>Brian</x:v>
      </x:c>
      <x:c r="F25" s="22" t="str">
        <x:v>22-10-2026</x:v>
      </x:c>
      <x:c r="G25" s="22" t="str">
        <x:v>Validación impide el dato duplicado, inválido o incompatible.</x:v>
      </x:c>
      <x:c r="H25" s="22" t="str">
        <x:v>OK — suite organizacion: 127 pruebas aprobadas, 0 fallidas.</x:v>
      </x:c>
      <x:c r="I25" s="22" t="str">
        <x:v>organizacion/tests/test_area.py · test_prioridad_fuera_de_rango · Revalidada en develop; suite general 210/210 OK (reporte Copilot).</x:v>
      </x:c>
      <x:c r="J25" s="22" t="str">
        <x:v>Aprobada</x:v>
      </x:c>
    </x:row>
    <x:row r="26" ht="43" customHeight="1">
      <x:c r="A26" s="26" t="str">
        <x:v>PU-ARE-08</x:v>
      </x:c>
      <x:c r="B26" s="26" t="str">
        <x:v>Area inexistente y delegacion inexistente</x:v>
      </x:c>
      <x:c r="C26" s="26" t="str">
        <x:v>Caja blanca</x:v>
      </x:c>
      <x:c r="D26" s="26" t="str">
        <x:v>HU17</x:v>
      </x:c>
      <x:c r="E26" s="26" t="str">
        <x:v>Brian</x:v>
      </x:c>
      <x:c r="F26" s="26" t="str">
        <x:v>22-10-2026</x:v>
      </x:c>
      <x:c r="G26" s="26" t="str">
        <x:v>Se verifica el escenario y las aserciones definidas en el test.</x:v>
      </x:c>
      <x:c r="H26" s="26" t="str">
        <x:v>OK — suite organizacion: 127 pruebas aprobadas, 0 fallidas.</x:v>
      </x:c>
      <x:c r="I26" s="26" t="str">
        <x:v>organizacion/tests/test_area.py · test_area_inexistente_y_delegacion_inexistente · Revalidada en develop; suite general 210/210 OK (reporte Copilot).</x:v>
      </x:c>
      <x:c r="J26" s="26" t="str">
        <x:v>Aprobada</x:v>
      </x:c>
    </x:row>
    <x:row r="27" ht="43" customHeight="1">
      <x:c r="A27" s="22" t="str">
        <x:v>PU-ARE-09</x:v>
      </x:c>
      <x:c r="B27" s="22" t="str">
        <x:v>Desactivar</x:v>
      </x:c>
      <x:c r="C27" s="22" t="str">
        <x:v>Caja blanca</x:v>
      </x:c>
      <x:c r="D27" s="22" t="str">
        <x:v>HU17</x:v>
      </x:c>
      <x:c r="E27" s="22" t="str">
        <x:v>Brian</x:v>
      </x:c>
      <x:c r="F27" s="22" t="str">
        <x:v>22-10-2026</x:v>
      </x:c>
      <x:c r="G27" s="22" t="str">
        <x:v>La desactivación cambia el estado sin borrar físicamente.</x:v>
      </x:c>
      <x:c r="H27" s="22" t="str">
        <x:v>OK — suite organizacion: 127 pruebas aprobadas, 0 fallidas.</x:v>
      </x:c>
      <x:c r="I27" s="22" t="str">
        <x:v>organizacion/tests/test_area.py · test_desactivar · Revalidada en develop; suite general 210/210 OK (reporte Copilot).</x:v>
      </x:c>
      <x:c r="J27" s="22" t="str">
        <x:v>Aprobada</x:v>
      </x:c>
    </x:row>
    <x:row r="28" ht="43" customHeight="1">
      <x:c r="A28" s="26" t="str">
        <x:v>PU-ARE-10</x:v>
      </x:c>
      <x:c r="B28" s="26" t="str">
        <x:v>No admin denegado</x:v>
      </x:c>
      <x:c r="C28" s="26" t="str">
        <x:v>Caja blanca</x:v>
      </x:c>
      <x:c r="D28" s="26" t="str">
        <x:v>HU17</x:v>
      </x:c>
      <x:c r="E28" s="26" t="str">
        <x:v>Brian</x:v>
      </x:c>
      <x:c r="F28" s="26" t="str">
        <x:v>22-10-2026</x:v>
      </x:c>
      <x:c r="G28" s="26" t="str">
        <x:v>Se impide la operación o acceso no autorizado.</x:v>
      </x:c>
      <x:c r="H28" s="26" t="str">
        <x:v>OK — suite organizacion: 127 pruebas aprobadas, 0 fallidas.</x:v>
      </x:c>
      <x:c r="I28" s="26" t="str">
        <x:v>organizacion/tests/test_area.py · test_no_admin_denegado · Revalidada en develop; suite general 210/210 OK (reporte Copilot).</x:v>
      </x:c>
      <x:c r="J28" s="26" t="str">
        <x:v>Aprobada</x:v>
      </x:c>
    </x:row>
    <x:row r="29" ht="43" customHeight="1">
      <x:c r="A29" s="22" t="str">
        <x:v>PU-ARE-11</x:v>
      </x:c>
      <x:c r="B29" s="22" t="str">
        <x:v>Filtros y busqueda</x:v>
      </x:c>
      <x:c r="C29" s="22" t="str">
        <x:v>Caja blanca</x:v>
      </x:c>
      <x:c r="D29" s="22" t="str">
        <x:v>HU17</x:v>
      </x:c>
      <x:c r="E29" s="22" t="str">
        <x:v>Brian</x:v>
      </x:c>
      <x:c r="F29" s="22" t="str">
        <x:v>22-10-2026</x:v>
      </x:c>
      <x:c r="G29" s="22" t="str">
        <x:v>La consulta devuelve resultados de acuerdo con filtros y búsqueda.</x:v>
      </x:c>
      <x:c r="H29" s="22" t="str">
        <x:v>OK — suite organizacion: 127 pruebas aprobadas, 0 fallidas.</x:v>
      </x:c>
      <x:c r="I29" s="22" t="str">
        <x:v>organizacion/tests/test_area.py · test_filtros_y_busqueda · Revalidada en develop; suite general 210/210 OK (reporte Copilot).</x:v>
      </x:c>
      <x:c r="J29" s="22" t="str">
        <x:v>Aprobada</x:v>
      </x:c>
    </x:row>
    <x:row r="30" ht="43" customHeight="1">
      <x:c r="A30" s="26" t="str">
        <x:v>PU-ARE-12</x:v>
      </x:c>
      <x:c r="B30" s="26" t="str">
        <x:v>Cambiar a prioridad usada intercambia las dos</x:v>
      </x:c>
      <x:c r="C30" s="26" t="str">
        <x:v>Caja blanca</x:v>
      </x:c>
      <x:c r="D30" s="26" t="str">
        <x:v>HU17</x:v>
      </x:c>
      <x:c r="E30" s="26" t="str">
        <x:v>Brian</x:v>
      </x:c>
      <x:c r="F30" s="26" t="str">
        <x:v>22-10-2026</x:v>
      </x:c>
      <x:c r="G30" s="26" t="str">
        <x:v>La actualización se realiza respetando restricciones de negocio.</x:v>
      </x:c>
      <x:c r="H30" s="26" t="str">
        <x:v>OK — suite organizacion: 127 pruebas aprobadas, 0 fallidas.</x:v>
      </x:c>
      <x:c r="I30" s="26" t="str">
        <x:v>organizacion/tests/test_area.py · test_cambiar_a_prioridad_usada_intercambia_las_dos · Revalidada en develop; suite general 210/210 OK (reporte Copilot).</x:v>
      </x:c>
      <x:c r="J30" s="26" t="str">
        <x:v>Aprobada</x:v>
      </x:c>
    </x:row>
    <x:row r="31" ht="43" customHeight="1">
      <x:c r="A31" s="22" t="str">
        <x:v>PU-ARE-13</x:v>
      </x:c>
      <x:c r="B31" s="22" t="str">
        <x:v>El intercambio queda en auditoria de ambas areas</x:v>
      </x:c>
      <x:c r="C31" s="22" t="str">
        <x:v>Caja blanca</x:v>
      </x:c>
      <x:c r="D31" s="22" t="str">
        <x:v>HU17</x:v>
      </x:c>
      <x:c r="E31" s="22" t="str">
        <x:v>Brian</x:v>
      </x:c>
      <x:c r="F31" s="22" t="str">
        <x:v>22-10-2026</x:v>
      </x:c>
      <x:c r="G31" s="22" t="str">
        <x:v>Los cambios quedan registrados en auditoría.</x:v>
      </x:c>
      <x:c r="H31" s="22" t="str">
        <x:v>OK — suite organizacion: 127 pruebas aprobadas, 0 fallidas.</x:v>
      </x:c>
      <x:c r="I31" s="22" t="str">
        <x:v>organizacion/tests/test_area.py · test_el_intercambio_queda_en_auditoria_de_ambas_areas · Revalidada en develop; suite general 210/210 OK (reporte Copilot).</x:v>
      </x:c>
      <x:c r="J31" s="22" t="str">
        <x:v>Aprobada</x:v>
      </x:c>
    </x:row>
    <x:row r="32" ht="43" customHeight="1">
      <x:c r="A32" s="26" t="str">
        <x:v>PU-ARE-14</x:v>
      </x:c>
      <x:c r="B32" s="26" t="str">
        <x:v>Editar otro campo no toca las prioridades</x:v>
      </x:c>
      <x:c r="C32" s="26" t="str">
        <x:v>Caja blanca</x:v>
      </x:c>
      <x:c r="D32" s="26" t="str">
        <x:v>HU17</x:v>
      </x:c>
      <x:c r="E32" s="26" t="str">
        <x:v>Brian</x:v>
      </x:c>
      <x:c r="F32" s="26" t="str">
        <x:v>22-10-2026</x:v>
      </x:c>
      <x:c r="G32" s="26" t="str">
        <x:v>La actualización se realiza respetando restricciones de negocio.</x:v>
      </x:c>
      <x:c r="H32" s="26" t="str">
        <x:v>OK — suite organizacion: 127 pruebas aprobadas, 0 fallidas.</x:v>
      </x:c>
      <x:c r="I32" s="26" t="str">
        <x:v>organizacion/tests/test_area.py · test_editar_otro_campo_no_toca_las_prioridades · Revalidada en develop; suite general 210/210 OK (reporte Copilot).</x:v>
      </x:c>
      <x:c r="J32" s="26" t="str">
        <x:v>Aprobada</x:v>
      </x:c>
    </x:row>
    <x:row r="33" ht="43" customHeight="1">
      <x:c r="A33" s="22" t="str">
        <x:v>PU-ARE-15</x:v>
      </x:c>
      <x:c r="B33" s="22" t="str">
        <x:v>Prioridad fuera de rango sigue rechazada</x:v>
      </x:c>
      <x:c r="C33" s="22" t="str">
        <x:v>Caja blanca</x:v>
      </x:c>
      <x:c r="D33" s="22" t="str">
        <x:v>HU17</x:v>
      </x:c>
      <x:c r="E33" s="22" t="str">
        <x:v>Brian</x:v>
      </x:c>
      <x:c r="F33" s="22" t="str">
        <x:v>22-10-2026</x:v>
      </x:c>
      <x:c r="G33" s="22" t="str">
        <x:v>Validación impide el dato duplicado, inválido o incompatible.</x:v>
      </x:c>
      <x:c r="H33" s="22" t="str">
        <x:v>OK — suite organizacion: 127 pruebas aprobadas, 0 fallidas.</x:v>
      </x:c>
      <x:c r="I33" s="22" t="str">
        <x:v>organizacion/tests/test_area.py · test_prioridad_fuera_de_rango_sigue_rechazada · Revalidada en develop; suite general 210/210 OK (reporte Copilot).</x:v>
      </x:c>
      <x:c r="J33" s="22" t="str">
        <x:v>Aprobada</x:v>
      </x:c>
    </x:row>
    <x:row r="34" ht="43" customHeight="1">
      <x:c r="A34" s="26" t="str">
        <x:v>PU-ARE-16</x:v>
      </x:c>
      <x:c r="B34" s="26" t="str">
        <x:v>No se puede mover un area a otra delegacion con la prioridad ocupada</x:v>
      </x:c>
      <x:c r="C34" s="26" t="str">
        <x:v>Caja blanca</x:v>
      </x:c>
      <x:c r="D34" s="26" t="str">
        <x:v>HU17</x:v>
      </x:c>
      <x:c r="E34" s="26" t="str">
        <x:v>Brian</x:v>
      </x:c>
      <x:c r="F34" s="26" t="str">
        <x:v>22-10-2026</x:v>
      </x:c>
      <x:c r="G34" s="26" t="str">
        <x:v>Se verifica el escenario y las aserciones definidas en el test.</x:v>
      </x:c>
      <x:c r="H34" s="26" t="str">
        <x:v>OK — suite organizacion: 127 pruebas aprobadas, 0 fallidas.</x:v>
      </x:c>
      <x:c r="I34" s="26" t="str">
        <x:v>organizacion/tests/test_area.py · test_no_se_puede_mover_un_area_a_otra_delegacion_con_la_prioridad_ocupada · Revalidada en develop; suite general 210/210 OK (reporte Copilot).</x:v>
      </x:c>
      <x:c r="J34" s="26" t="str">
        <x:v>Aprobada</x:v>
      </x:c>
    </x:row>
    <x:row r="35" ht="43" customHeight="1">
      <x:c r="A35" s="22" t="str">
        <x:v>PU-ARE-17</x:v>
      </x:c>
      <x:c r="B35" s="22" t="str">
        <x:v>Crear con prioridad usada sigue rechazado</x:v>
      </x:c>
      <x:c r="C35" s="22" t="str">
        <x:v>Caja blanca</x:v>
      </x:c>
      <x:c r="D35" s="22" t="str">
        <x:v>HU17</x:v>
      </x:c>
      <x:c r="E35" s="22" t="str">
        <x:v>Brian</x:v>
      </x:c>
      <x:c r="F35" s="22" t="str">
        <x:v>22-10-2026</x:v>
      </x:c>
      <x:c r="G35" s="22" t="str">
        <x:v>Validación impide el dato duplicado, inválido o incompatible.</x:v>
      </x:c>
      <x:c r="H35" s="22" t="str">
        <x:v>OK — suite organizacion: 127 pruebas aprobadas, 0 fallidas.</x:v>
      </x:c>
      <x:c r="I35" s="22" t="str">
        <x:v>organizacion/tests/test_area.py · test_crear_con_prioridad_usada_sigue_rechazado · Revalidada en develop; suite general 210/210 OK (reporte Copilot).</x:v>
      </x:c>
      <x:c r="J35" s="22" t="str">
        <x:v>Aprobada</x:v>
      </x:c>
    </x:row>
    <x:row r="36" ht="43" customHeight="1">
      <x:c r="A36" s="26" t="str">
        <x:v>PU-CAR-01</x:v>
      </x:c>
      <x:c r="B36" s="26" t="str">
        <x:v>Crear con area</x:v>
      </x:c>
      <x:c r="C36" s="26" t="str">
        <x:v>Caja blanca</x:v>
      </x:c>
      <x:c r="D36" s="26" t="str">
        <x:v>HU17</x:v>
      </x:c>
      <x:c r="E36" s="26" t="str">
        <x:v>Brian</x:v>
      </x:c>
      <x:c r="F36" s="26" t="str">
        <x:v>22-10-2026</x:v>
      </x:c>
      <x:c r="G36" s="26" t="str">
        <x:v>El alta o flujo completo concluye con datos relacionados válidos.</x:v>
      </x:c>
      <x:c r="H36" s="26" t="str">
        <x:v>OK — suite organizacion: 127 pruebas aprobadas, 0 fallidas.</x:v>
      </x:c>
      <x:c r="I36" s="26" t="str">
        <x:v>organizacion/tests/test_cargo.py · test_crear_con_area · Revalidada en develop; suite general 210/210 OK (reporte Copilot).</x:v>
      </x:c>
      <x:c r="J36" s="26" t="str">
        <x:v>Aprobada</x:v>
      </x:c>
    </x:row>
    <x:row r="37" ht="43" customHeight="1">
      <x:c r="A37" s="22" t="str">
        <x:v>PU-CAR-02</x:v>
      </x:c>
      <x:c r="B37" s="22" t="str">
        <x:v>Crear transversal sin area</x:v>
      </x:c>
      <x:c r="C37" s="22" t="str">
        <x:v>Caja blanca</x:v>
      </x:c>
      <x:c r="D37" s="22" t="str">
        <x:v>HU17</x:v>
      </x:c>
      <x:c r="E37" s="22" t="str">
        <x:v>Brian</x:v>
      </x:c>
      <x:c r="F37" s="22" t="str">
        <x:v>22-10-2026</x:v>
      </x:c>
      <x:c r="G37" s="22" t="str">
        <x:v>El alta o flujo completo concluye con datos relacionados válidos.</x:v>
      </x:c>
      <x:c r="H37" s="22" t="str">
        <x:v>OK — suite organizacion: 127 pruebas aprobadas, 0 fallidas.</x:v>
      </x:c>
      <x:c r="I37" s="22" t="str">
        <x:v>organizacion/tests/test_cargo.py · test_crear_transversal_sin_area · Revalidada en develop; suite general 210/210 OK (reporte Copilot).</x:v>
      </x:c>
      <x:c r="J37" s="22" t="str">
        <x:v>Aprobada</x:v>
      </x:c>
    </x:row>
    <x:row r="38" ht="43" customHeight="1">
      <x:c r="A38" s="26" t="str">
        <x:v>PU-CAR-03</x:v>
      </x:c>
      <x:c r="B38" s="26" t="str">
        <x:v>Editar y marcar no vigente</x:v>
      </x:c>
      <x:c r="C38" s="26" t="str">
        <x:v>Caja blanca</x:v>
      </x:c>
      <x:c r="D38" s="26" t="str">
        <x:v>HU17</x:v>
      </x:c>
      <x:c r="E38" s="26" t="str">
        <x:v>Brian</x:v>
      </x:c>
      <x:c r="F38" s="26" t="str">
        <x:v>22-10-2026</x:v>
      </x:c>
      <x:c r="G38" s="26" t="str">
        <x:v>La desactivación cambia el estado sin borrar físicamente.</x:v>
      </x:c>
      <x:c r="H38" s="26" t="str">
        <x:v>OK — suite organizacion: 127 pruebas aprobadas, 0 fallidas.</x:v>
      </x:c>
      <x:c r="I38" s="26" t="str">
        <x:v>organizacion/tests/test_cargo.py · test_editar_y_marcar_no_vigente · Revalidada en develop; suite general 210/210 OK (reporte Copilot).</x:v>
      </x:c>
      <x:c r="J38" s="26" t="str">
        <x:v>Aprobada</x:v>
      </x:c>
    </x:row>
    <x:row r="39" ht="43" customHeight="1">
      <x:c r="A39" s="22" t="str">
        <x:v>PU-CAR-04</x:v>
      </x:c>
      <x:c r="B39" s="22" t="str">
        <x:v>Pasar de area a transversal</x:v>
      </x:c>
      <x:c r="C39" s="22" t="str">
        <x:v>Caja blanca</x:v>
      </x:c>
      <x:c r="D39" s="22" t="str">
        <x:v>HU17</x:v>
      </x:c>
      <x:c r="E39" s="22" t="str">
        <x:v>Brian</x:v>
      </x:c>
      <x:c r="F39" s="22" t="str">
        <x:v>22-10-2026</x:v>
      </x:c>
      <x:c r="G39" s="22" t="str">
        <x:v>Se verifica el escenario y las aserciones definidas en el test.</x:v>
      </x:c>
      <x:c r="H39" s="22" t="str">
        <x:v>OK — suite organizacion: 127 pruebas aprobadas, 0 fallidas.</x:v>
      </x:c>
      <x:c r="I39" s="22" t="str">
        <x:v>organizacion/tests/test_cargo.py · test_pasar_de_area_a_transversal · Revalidada en develop; suite general 210/210 OK (reporte Copilot).</x:v>
      </x:c>
      <x:c r="J39" s="22" t="str">
        <x:v>Aprobada</x:v>
      </x:c>
    </x:row>
    <x:row r="40" ht="43" customHeight="1">
      <x:c r="A40" s="26" t="str">
        <x:v>PU-CAR-05</x:v>
      </x:c>
      <x:c r="B40" s="26" t="str">
        <x:v>Nombre duplicado en la misma area</x:v>
      </x:c>
      <x:c r="C40" s="26" t="str">
        <x:v>Caja blanca</x:v>
      </x:c>
      <x:c r="D40" s="26" t="str">
        <x:v>HU17</x:v>
      </x:c>
      <x:c r="E40" s="26" t="str">
        <x:v>Brian</x:v>
      </x:c>
      <x:c r="F40" s="26" t="str">
        <x:v>22-10-2026</x:v>
      </x:c>
      <x:c r="G40" s="26" t="str">
        <x:v>Validación impide el dato duplicado, inválido o incompatible.</x:v>
      </x:c>
      <x:c r="H40" s="26" t="str">
        <x:v>OK — suite organizacion: 127 pruebas aprobadas, 0 fallidas.</x:v>
      </x:c>
      <x:c r="I40" s="26" t="str">
        <x:v>organizacion/tests/test_cargo.py · test_nombre_duplicado_en_la_misma_area · Revalidada en develop; suite general 210/210 OK (reporte Copilot).</x:v>
      </x:c>
      <x:c r="J40" s="26" t="str">
        <x:v>Aprobada</x:v>
      </x:c>
    </x:row>
    <x:row r="41" ht="43" customHeight="1">
      <x:c r="A41" s="22" t="str">
        <x:v>PU-CAR-06</x:v>
      </x:c>
      <x:c r="B41" s="22" t="str">
        <x:v>Nombre duplicado entre transversales</x:v>
      </x:c>
      <x:c r="C41" s="22" t="str">
        <x:v>Caja blanca</x:v>
      </x:c>
      <x:c r="D41" s="22" t="str">
        <x:v>HU17</x:v>
      </x:c>
      <x:c r="E41" s="22" t="str">
        <x:v>Brian</x:v>
      </x:c>
      <x:c r="F41" s="22" t="str">
        <x:v>22-10-2026</x:v>
      </x:c>
      <x:c r="G41" s="22" t="str">
        <x:v>Validación impide el dato duplicado, inválido o incompatible.</x:v>
      </x:c>
      <x:c r="H41" s="22" t="str">
        <x:v>OK — suite organizacion: 127 pruebas aprobadas, 0 fallidas.</x:v>
      </x:c>
      <x:c r="I41" s="22" t="str">
        <x:v>organizacion/tests/test_cargo.py · test_nombre_duplicado_entre_transversales · Revalidada en develop; suite general 210/210 OK (reporte Copilot).</x:v>
      </x:c>
      <x:c r="J41" s="22" t="str">
        <x:v>Aprobada</x:v>
      </x:c>
    </x:row>
    <x:row r="42" ht="43" customHeight="1">
      <x:c r="A42" s="26" t="str">
        <x:v>PU-CAR-07</x:v>
      </x:c>
      <x:c r="B42" s="26" t="str">
        <x:v>Mismo nombre en otra area es valido</x:v>
      </x:c>
      <x:c r="C42" s="26" t="str">
        <x:v>Caja blanca</x:v>
      </x:c>
      <x:c r="D42" s="26" t="str">
        <x:v>HU17</x:v>
      </x:c>
      <x:c r="E42" s="26" t="str">
        <x:v>Brian</x:v>
      </x:c>
      <x:c r="F42" s="26" t="str">
        <x:v>22-10-2026</x:v>
      </x:c>
      <x:c r="G42" s="26" t="str">
        <x:v>Se verifica el escenario y las aserciones definidas en el test.</x:v>
      </x:c>
      <x:c r="H42" s="26" t="str">
        <x:v>OK — suite organizacion: 127 pruebas aprobadas, 0 fallidas.</x:v>
      </x:c>
      <x:c r="I42" s="26" t="str">
        <x:v>organizacion/tests/test_cargo.py · test_mismo_nombre_en_otra_area_es_valido · Revalidada en develop; suite general 210/210 OK (reporte Copilot).</x:v>
      </x:c>
      <x:c r="J42" s="26" t="str">
        <x:v>Aprobada</x:v>
      </x:c>
    </x:row>
    <x:row r="43" ht="43" customHeight="1">
      <x:c r="A43" s="22" t="str">
        <x:v>PU-CAR-08</x:v>
      </x:c>
      <x:c r="B43" s="22" t="str">
        <x:v>Nombre obligatorio y longitud</x:v>
      </x:c>
      <x:c r="C43" s="22" t="str">
        <x:v>Caja blanca</x:v>
      </x:c>
      <x:c r="D43" s="22" t="str">
        <x:v>HU17</x:v>
      </x:c>
      <x:c r="E43" s="22" t="str">
        <x:v>Brian</x:v>
      </x:c>
      <x:c r="F43" s="22" t="str">
        <x:v>22-10-2026</x:v>
      </x:c>
      <x:c r="G43" s="22" t="str">
        <x:v>Se verifica el escenario y las aserciones definidas en el test.</x:v>
      </x:c>
      <x:c r="H43" s="22" t="str">
        <x:v>OK — suite organizacion: 127 pruebas aprobadas, 0 fallidas.</x:v>
      </x:c>
      <x:c r="I43" s="22" t="str">
        <x:v>organizacion/tests/test_cargo.py · test_nombre_obligatorio_y_longitud · Revalidada en develop; suite general 210/210 OK (reporte Copilot).</x:v>
      </x:c>
      <x:c r="J43" s="22" t="str">
        <x:v>Aprobada</x:v>
      </x:c>
    </x:row>
    <x:row r="44" ht="43" customHeight="1">
      <x:c r="A44" s="26" t="str">
        <x:v>PU-CAR-09</x:v>
      </x:c>
      <x:c r="B44" s="26" t="str">
        <x:v>Area inexistente</x:v>
      </x:c>
      <x:c r="C44" s="26" t="str">
        <x:v>Caja blanca</x:v>
      </x:c>
      <x:c r="D44" s="26" t="str">
        <x:v>HU17</x:v>
      </x:c>
      <x:c r="E44" s="26" t="str">
        <x:v>Brian</x:v>
      </x:c>
      <x:c r="F44" s="26" t="str">
        <x:v>22-10-2026</x:v>
      </x:c>
      <x:c r="G44" s="26" t="str">
        <x:v>Se verifica el escenario y las aserciones definidas en el test.</x:v>
      </x:c>
      <x:c r="H44" s="26" t="str">
        <x:v>OK — suite organizacion: 127 pruebas aprobadas, 0 fallidas.</x:v>
      </x:c>
      <x:c r="I44" s="26" t="str">
        <x:v>organizacion/tests/test_cargo.py · test_area_inexistente · Revalidada en develop; suite general 210/210 OK (reporte Copilot).</x:v>
      </x:c>
      <x:c r="J44" s="26" t="str">
        <x:v>Aprobada</x:v>
      </x:c>
    </x:row>
    <x:row r="45" ht="43" customHeight="1">
      <x:c r="A45" s="22" t="str">
        <x:v>PU-CAR-10</x:v>
      </x:c>
      <x:c r="B45" s="22" t="str">
        <x:v>Desactivar marca no vigente</x:v>
      </x:c>
      <x:c r="C45" s="22" t="str">
        <x:v>Caja blanca</x:v>
      </x:c>
      <x:c r="D45" s="22" t="str">
        <x:v>HU17</x:v>
      </x:c>
      <x:c r="E45" s="22" t="str">
        <x:v>Brian</x:v>
      </x:c>
      <x:c r="F45" s="22" t="str">
        <x:v>22-10-2026</x:v>
      </x:c>
      <x:c r="G45" s="22" t="str">
        <x:v>La desactivación cambia el estado sin borrar físicamente.</x:v>
      </x:c>
      <x:c r="H45" s="22" t="str">
        <x:v>OK — suite organizacion: 127 pruebas aprobadas, 0 fallidas.</x:v>
      </x:c>
      <x:c r="I45" s="22" t="str">
        <x:v>organizacion/tests/test_cargo.py · test_desactivar_marca_no_vigente · Revalidada en develop; suite general 210/210 OK (reporte Copilot).</x:v>
      </x:c>
      <x:c r="J45" s="22" t="str">
        <x:v>Aprobada</x:v>
      </x:c>
    </x:row>
    <x:row r="46" ht="43" customHeight="1">
      <x:c r="A46" s="26" t="str">
        <x:v>PU-CAR-11</x:v>
      </x:c>
      <x:c r="B46" s="26" t="str">
        <x:v>No admin denegado</x:v>
      </x:c>
      <x:c r="C46" s="26" t="str">
        <x:v>Caja blanca</x:v>
      </x:c>
      <x:c r="D46" s="26" t="str">
        <x:v>HU17</x:v>
      </x:c>
      <x:c r="E46" s="26" t="str">
        <x:v>Brian</x:v>
      </x:c>
      <x:c r="F46" s="26" t="str">
        <x:v>22-10-2026</x:v>
      </x:c>
      <x:c r="G46" s="26" t="str">
        <x:v>Se impide la operación o acceso no autorizado.</x:v>
      </x:c>
      <x:c r="H46" s="26" t="str">
        <x:v>OK — suite organizacion: 127 pruebas aprobadas, 0 fallidas.</x:v>
      </x:c>
      <x:c r="I46" s="26" t="str">
        <x:v>organizacion/tests/test_cargo.py · test_no_admin_denegado · Revalidada en develop; suite general 210/210 OK (reporte Copilot).</x:v>
      </x:c>
      <x:c r="J46" s="26" t="str">
        <x:v>Aprobada</x:v>
      </x:c>
    </x:row>
    <x:row r="47" ht="43" customHeight="1">
      <x:c r="A47" s="22" t="str">
        <x:v>PU-CAR-12</x:v>
      </x:c>
      <x:c r="B47" s="22" t="str">
        <x:v>Filtros y busqueda</x:v>
      </x:c>
      <x:c r="C47" s="22" t="str">
        <x:v>Caja blanca</x:v>
      </x:c>
      <x:c r="D47" s="22" t="str">
        <x:v>HU17</x:v>
      </x:c>
      <x:c r="E47" s="22" t="str">
        <x:v>Brian</x:v>
      </x:c>
      <x:c r="F47" s="22" t="str">
        <x:v>22-10-2026</x:v>
      </x:c>
      <x:c r="G47" s="22" t="str">
        <x:v>La consulta devuelve resultados de acuerdo con filtros y búsqueda.</x:v>
      </x:c>
      <x:c r="H47" s="22" t="str">
        <x:v>OK — suite organizacion: 127 pruebas aprobadas, 0 fallidas.</x:v>
      </x:c>
      <x:c r="I47" s="22" t="str">
        <x:v>organizacion/tests/test_cargo.py · test_filtros_y_busqueda · Revalidada en develop; suite general 210/210 OK (reporte Copilot).</x:v>
      </x:c>
      <x:c r="J47" s="22" t="str">
        <x:v>Aprobada</x:v>
      </x:c>
    </x:row>
    <x:row r="48" ht="43" customHeight="1">
      <x:c r="A48" s="26" t="str">
        <x:v>PU-USU-01</x:v>
      </x:c>
      <x:c r="B48" s="26" t="str">
        <x:v>Crear</x:v>
      </x:c>
      <x:c r="C48" s="26" t="str">
        <x:v>Caja blanca</x:v>
      </x:c>
      <x:c r="D48" s="26" t="str">
        <x:v>HU18, HU19</x:v>
      </x:c>
      <x:c r="E48" s="26" t="str">
        <x:v>Patricio</x:v>
      </x:c>
      <x:c r="F48" s="26" t="str">
        <x:v>22-10-2026</x:v>
      </x:c>
      <x:c r="G48" s="26" t="str">
        <x:v>El alta o flujo completo concluye con datos relacionados válidos.</x:v>
      </x:c>
      <x:c r="H48" s="26" t="str">
        <x:v>OK — suite personas: 31 pruebas aprobadas, 0 fallidas.</x:v>
      </x:c>
      <x:c r="I48" s="26" t="str">
        <x:v>personas/tests/test_usuario.py · test_crear · Revalidada en develop; suite general 210/210 OK (reporte Copilot).</x:v>
      </x:c>
      <x:c r="J48" s="26" t="str">
        <x:v>Aprobada</x:v>
      </x:c>
    </x:row>
    <x:row r="49" ht="43" customHeight="1">
      <x:c r="A49" s="22" t="str">
        <x:v>PU-USU-02</x:v>
      </x:c>
      <x:c r="B49" s="22" t="str">
        <x:v>Editar</x:v>
      </x:c>
      <x:c r="C49" s="22" t="str">
        <x:v>Caja blanca</x:v>
      </x:c>
      <x:c r="D49" s="22" t="str">
        <x:v>HU18, HU19</x:v>
      </x:c>
      <x:c r="E49" s="22" t="str">
        <x:v>Patricio</x:v>
      </x:c>
      <x:c r="F49" s="22" t="str">
        <x:v>22-10-2026</x:v>
      </x:c>
      <x:c r="G49" s="22" t="str">
        <x:v>La actualización se realiza respetando restricciones de negocio.</x:v>
      </x:c>
      <x:c r="H49" s="22" t="str">
        <x:v>OK — suite personas: 31 pruebas aprobadas, 0 fallidas.</x:v>
      </x:c>
      <x:c r="I49" s="22" t="str">
        <x:v>personas/tests/test_usuario.py · test_editar · Revalidada en develop; suite general 210/210 OK (reporte Copilot).</x:v>
      </x:c>
      <x:c r="J49" s="22" t="str">
        <x:v>Aprobada</x:v>
      </x:c>
    </x:row>
    <x:row r="50" ht="43" customHeight="1">
      <x:c r="A50" s="26" t="str">
        <x:v>PU-USU-03</x:v>
      </x:c>
      <x:c r="B50" s="26" t="str">
        <x:v>RUT duplicado</x:v>
      </x:c>
      <x:c r="C50" s="26" t="str">
        <x:v>Caja blanca</x:v>
      </x:c>
      <x:c r="D50" s="26" t="str">
        <x:v>HU18, HU19</x:v>
      </x:c>
      <x:c r="E50" s="26" t="str">
        <x:v>Patricio</x:v>
      </x:c>
      <x:c r="F50" s="26" t="str">
        <x:v>22-10-2026</x:v>
      </x:c>
      <x:c r="G50" s="26" t="str">
        <x:v>Validación impide el dato duplicado, inválido o incompatible.</x:v>
      </x:c>
      <x:c r="H50" s="26" t="str">
        <x:v>OK — suite personas: 31 pruebas aprobadas, 0 fallidas.</x:v>
      </x:c>
      <x:c r="I50" s="26" t="str">
        <x:v>personas/tests/test_usuario.py · test_rut_duplicado · Revalidada en develop; suite general 210/210 OK (reporte Copilot).</x:v>
      </x:c>
      <x:c r="J50" s="26" t="str">
        <x:v>Aprobada</x:v>
      </x:c>
    </x:row>
    <x:row r="51" ht="43" customHeight="1">
      <x:c r="A51" s="22" t="str">
        <x:v>PU-USU-04</x:v>
      </x:c>
      <x:c r="B51" s="22" t="str">
        <x:v>RUT invalido</x:v>
      </x:c>
      <x:c r="C51" s="22" t="str">
        <x:v>Caja blanca</x:v>
      </x:c>
      <x:c r="D51" s="22" t="str">
        <x:v>HU18, HU19</x:v>
      </x:c>
      <x:c r="E51" s="22" t="str">
        <x:v>Patricio</x:v>
      </x:c>
      <x:c r="F51" s="22" t="str">
        <x:v>22-10-2026</x:v>
      </x:c>
      <x:c r="G51" s="22" t="str">
        <x:v>Validación impide el dato duplicado, inválido o incompatible.</x:v>
      </x:c>
      <x:c r="H51" s="22" t="str">
        <x:v>OK — suite personas: 31 pruebas aprobadas, 0 fallidas.</x:v>
      </x:c>
      <x:c r="I51" s="22" t="str">
        <x:v>personas/tests/test_usuario.py · test_rut_invalido · Revalidada en develop; suite general 210/210 OK (reporte Copilot).</x:v>
      </x:c>
      <x:c r="J51" s="22" t="str">
        <x:v>Aprobada</x:v>
      </x:c>
    </x:row>
    <x:row r="52" ht="43" customHeight="1">
      <x:c r="A52" s="26" t="str">
        <x:v>PU-USU-05</x:v>
      </x:c>
      <x:c r="B52" s="26" t="str">
        <x:v>Desactivar</x:v>
      </x:c>
      <x:c r="C52" s="26" t="str">
        <x:v>Caja blanca</x:v>
      </x:c>
      <x:c r="D52" s="26" t="str">
        <x:v>HU18, HU19</x:v>
      </x:c>
      <x:c r="E52" s="26" t="str">
        <x:v>Patricio</x:v>
      </x:c>
      <x:c r="F52" s="26" t="str">
        <x:v>22-10-2026</x:v>
      </x:c>
      <x:c r="G52" s="26" t="str">
        <x:v>La desactivación cambia el estado sin borrar físicamente.</x:v>
      </x:c>
      <x:c r="H52" s="26" t="str">
        <x:v>OK — suite personas: 31 pruebas aprobadas, 0 fallidas.</x:v>
      </x:c>
      <x:c r="I52" s="26" t="str">
        <x:v>personas/tests/test_usuario.py · test_desactivar · Revalidada en develop; suite general 210/210 OK (reporte Copilot).</x:v>
      </x:c>
      <x:c r="J52" s="26" t="str">
        <x:v>Aprobada</x:v>
      </x:c>
    </x:row>
    <x:row r="53" ht="43" customHeight="1">
      <x:c r="A53" s="22" t="str">
        <x:v>PU-USU-06</x:v>
      </x:c>
      <x:c r="B53" s="22" t="str">
        <x:v>No admin denegado</x:v>
      </x:c>
      <x:c r="C53" s="22" t="str">
        <x:v>Caja blanca</x:v>
      </x:c>
      <x:c r="D53" s="22" t="str">
        <x:v>HU18, HU19</x:v>
      </x:c>
      <x:c r="E53" s="22" t="str">
        <x:v>Patricio</x:v>
      </x:c>
      <x:c r="F53" s="22" t="str">
        <x:v>22-10-2026</x:v>
      </x:c>
      <x:c r="G53" s="22" t="str">
        <x:v>Se impide la operación o acceso no autorizado.</x:v>
      </x:c>
      <x:c r="H53" s="22" t="str">
        <x:v>OK — suite personas: 31 pruebas aprobadas, 0 fallidas.</x:v>
      </x:c>
      <x:c r="I53" s="22" t="str">
        <x:v>personas/tests/test_usuario.py · test_no_admin_denegado · Revalidada en develop; suite general 210/210 OK (reporte Copilot).</x:v>
      </x:c>
      <x:c r="J53" s="22" t="str">
        <x:v>Aprobada</x:v>
      </x:c>
    </x:row>
    <x:row r="54" ht="43" customHeight="1">
      <x:c r="A54" s="26" t="str">
        <x:v>PU-USU-07</x:v>
      </x:c>
      <x:c r="B54" s="26" t="str">
        <x:v>Listado busqueda</x:v>
      </x:c>
      <x:c r="C54" s="26" t="str">
        <x:v>Caja blanca</x:v>
      </x:c>
      <x:c r="D54" s="26" t="str">
        <x:v>HU18, HU19</x:v>
      </x:c>
      <x:c r="E54" s="26" t="str">
        <x:v>Patricio</x:v>
      </x:c>
      <x:c r="F54" s="26" t="str">
        <x:v>22-10-2026</x:v>
      </x:c>
      <x:c r="G54" s="26" t="str">
        <x:v>La consulta devuelve resultados de acuerdo con filtros y búsqueda.</x:v>
      </x:c>
      <x:c r="H54" s="26" t="str">
        <x:v>OK — suite personas: 31 pruebas aprobadas, 0 fallidas.</x:v>
      </x:c>
      <x:c r="I54" s="26" t="str">
        <x:v>personas/tests/test_usuario.py · test_listado_busqueda · Revalidada en develop; suite general 210/210 OK (reporte Copilot).</x:v>
      </x:c>
      <x:c r="J54" s="26" t="str">
        <x:v>Aprobada</x:v>
      </x:c>
    </x:row>
    <x:row r="55" ht="43" customHeight="1">
      <x:c r="A55" s="22" t="str">
        <x:v>PU-USU-08</x:v>
      </x:c>
      <x:c r="B55" s="22" t="str">
        <x:v>Crear con funcionario y delegacion</x:v>
      </x:c>
      <x:c r="C55" s="22" t="str">
        <x:v>Caja blanca</x:v>
      </x:c>
      <x:c r="D55" s="22" t="str">
        <x:v>HU18, HU19</x:v>
      </x:c>
      <x:c r="E55" s="22" t="str">
        <x:v>Patricio</x:v>
      </x:c>
      <x:c r="F55" s="22" t="str">
        <x:v>22-10-2026</x:v>
      </x:c>
      <x:c r="G55" s="22" t="str">
        <x:v>El alta o flujo completo concluye con datos relacionados válidos.</x:v>
      </x:c>
      <x:c r="H55" s="22" t="str">
        <x:v>OK — suite personas: 31 pruebas aprobadas, 0 fallidas.</x:v>
      </x:c>
      <x:c r="I55" s="22" t="str">
        <x:v>personas/tests/test_usuario.py · test_crear_con_funcionario_y_delegacion · Revalidada en develop; suite general 210/210 OK (reporte Copilot).</x:v>
      </x:c>
      <x:c r="J55" s="22" t="str">
        <x:v>Aprobada</x:v>
      </x:c>
    </x:row>
    <x:row r="56" ht="43" customHeight="1">
      <x:c r="A56" s="26" t="str">
        <x:v>PU-USU-09</x:v>
      </x:c>
      <x:c r="B56" s="26" t="str">
        <x:v>Sin delegacion es acceso global</x:v>
      </x:c>
      <x:c r="C56" s="26" t="str">
        <x:v>Caja blanca</x:v>
      </x:c>
      <x:c r="D56" s="26" t="str">
        <x:v>HU18, HU19</x:v>
      </x:c>
      <x:c r="E56" s="26" t="str">
        <x:v>Patricio</x:v>
      </x:c>
      <x:c r="F56" s="26" t="str">
        <x:v>22-10-2026</x:v>
      </x:c>
      <x:c r="G56" s="26" t="str">
        <x:v>Se verifica el escenario y las aserciones definidas en el test.</x:v>
      </x:c>
      <x:c r="H56" s="26" t="str">
        <x:v>OK — suite personas: 31 pruebas aprobadas, 0 fallidas.</x:v>
      </x:c>
      <x:c r="I56" s="26" t="str">
        <x:v>personas/tests/test_usuario.py · test_sin_delegacion_es_acceso_global · Revalidada en develop; suite general 210/210 OK (reporte Copilot).</x:v>
      </x:c>
      <x:c r="J56" s="26" t="str">
        <x:v>Aprobada</x:v>
      </x:c>
    </x:row>
    <x:row r="57" ht="43" customHeight="1">
      <x:c r="A57" s="22" t="str">
        <x:v>PU-USU-10</x:v>
      </x:c>
      <x:c r="B57" s="22" t="str">
        <x:v>Cambiar y quitar delegacion</x:v>
      </x:c>
      <x:c r="C57" s="22" t="str">
        <x:v>Caja blanca</x:v>
      </x:c>
      <x:c r="D57" s="22" t="str">
        <x:v>HU18, HU19</x:v>
      </x:c>
      <x:c r="E57" s="22" t="str">
        <x:v>Patricio</x:v>
      </x:c>
      <x:c r="F57" s="22" t="str">
        <x:v>22-10-2026</x:v>
      </x:c>
      <x:c r="G57" s="22" t="str">
        <x:v>La actualización se realiza respetando restricciones de negocio.</x:v>
      </x:c>
      <x:c r="H57" s="22" t="str">
        <x:v>OK — suite personas: 31 pruebas aprobadas, 0 fallidas.</x:v>
      </x:c>
      <x:c r="I57" s="22" t="str">
        <x:v>personas/tests/test_usuario.py · test_cambiar_y_quitar_delegacion · Revalidada en develop; suite general 210/210 OK (reporte Copilot).</x:v>
      </x:c>
      <x:c r="J57" s="22" t="str">
        <x:v>Aprobada</x:v>
      </x:c>
    </x:row>
    <x:row r="58" ht="43" customHeight="1">
      <x:c r="A58" s="26" t="str">
        <x:v>PU-USU-11</x:v>
      </x:c>
      <x:c r="B58" s="26" t="str">
        <x:v>Delegacion inactiva rechazada</x:v>
      </x:c>
      <x:c r="C58" s="26" t="str">
        <x:v>Caja blanca</x:v>
      </x:c>
      <x:c r="D58" s="26" t="str">
        <x:v>HU18, HU19</x:v>
      </x:c>
      <x:c r="E58" s="26" t="str">
        <x:v>Patricio</x:v>
      </x:c>
      <x:c r="F58" s="26" t="str">
        <x:v>22-10-2026</x:v>
      </x:c>
      <x:c r="G58" s="26" t="str">
        <x:v>Validación impide el dato duplicado, inválido o incompatible.</x:v>
      </x:c>
      <x:c r="H58" s="26" t="str">
        <x:v>OK — suite personas: 31 pruebas aprobadas, 0 fallidas.</x:v>
      </x:c>
      <x:c r="I58" s="26" t="str">
        <x:v>personas/tests/test_usuario.py · test_delegacion_inactiva_rechazada · Revalidada en develop; suite general 210/210 OK (reporte Copilot).</x:v>
      </x:c>
      <x:c r="J58" s="26" t="str">
        <x:v>Aprobada</x:v>
      </x:c>
    </x:row>
    <x:row r="59" ht="43" customHeight="1">
      <x:c r="A59" s="22" t="str">
        <x:v>PU-USU-12</x:v>
      </x:c>
      <x:c r="B59" s="22" t="str">
        <x:v>Funcionario inactivo rechazado</x:v>
      </x:c>
      <x:c r="C59" s="22" t="str">
        <x:v>Caja blanca</x:v>
      </x:c>
      <x:c r="D59" s="22" t="str">
        <x:v>HU18, HU19</x:v>
      </x:c>
      <x:c r="E59" s="22" t="str">
        <x:v>Patricio</x:v>
      </x:c>
      <x:c r="F59" s="22" t="str">
        <x:v>22-10-2026</x:v>
      </x:c>
      <x:c r="G59" s="22" t="str">
        <x:v>Validación impide el dato duplicado, inválido o incompatible.</x:v>
      </x:c>
      <x:c r="H59" s="22" t="str">
        <x:v>OK — suite personas: 31 pruebas aprobadas, 0 fallidas.</x:v>
      </x:c>
      <x:c r="I59" s="22" t="str">
        <x:v>personas/tests/test_usuario.py · test_funcionario_inactivo_rechazado · Revalidada en develop; suite general 210/210 OK (reporte Copilot).</x:v>
      </x:c>
      <x:c r="J59" s="22" t="str">
        <x:v>Aprobada</x:v>
      </x:c>
    </x:row>
    <x:row r="60" ht="43" customHeight="1">
      <x:c r="A60" s="26" t="str">
        <x:v>PU-USU-13</x:v>
      </x:c>
      <x:c r="B60" s="26" t="str">
        <x:v>Editar sin cambiar delegacion ni funcionario inactivos</x:v>
      </x:c>
      <x:c r="C60" s="26" t="str">
        <x:v>Caja blanca</x:v>
      </x:c>
      <x:c r="D60" s="26" t="str">
        <x:v>HU18, HU19</x:v>
      </x:c>
      <x:c r="E60" s="26" t="str">
        <x:v>Patricio</x:v>
      </x:c>
      <x:c r="F60" s="26" t="str">
        <x:v>22-10-2026</x:v>
      </x:c>
      <x:c r="G60" s="26" t="str">
        <x:v>La actualización se realiza respetando restricciones de negocio.</x:v>
      </x:c>
      <x:c r="H60" s="26" t="str">
        <x:v>OK — suite personas: 31 pruebas aprobadas, 0 fallidas.</x:v>
      </x:c>
      <x:c r="I60" s="26" t="str">
        <x:v>personas/tests/test_usuario.py · test_editar_sin_cambiar_delegacion_ni_funcionario_inactivos · Revalidada en develop; suite general 210/210 OK (reporte Copilot).</x:v>
      </x:c>
      <x:c r="J60" s="26" t="str">
        <x:v>Aprobada</x:v>
      </x:c>
    </x:row>
    <x:row r="61" ht="43" customHeight="1">
      <x:c r="A61" s="22" t="str">
        <x:v>PU-USU-14</x:v>
      </x:c>
      <x:c r="B61" s="22" t="str">
        <x:v>Filtro por delegacion</x:v>
      </x:c>
      <x:c r="C61" s="22" t="str">
        <x:v>Caja blanca</x:v>
      </x:c>
      <x:c r="D61" s="22" t="str">
        <x:v>HU18, HU19</x:v>
      </x:c>
      <x:c r="E61" s="22" t="str">
        <x:v>Patricio</x:v>
      </x:c>
      <x:c r="F61" s="22" t="str">
        <x:v>22-10-2026</x:v>
      </x:c>
      <x:c r="G61" s="22" t="str">
        <x:v>La consulta devuelve resultados de acuerdo con filtros y búsqueda.</x:v>
      </x:c>
      <x:c r="H61" s="22" t="str">
        <x:v>OK — suite personas: 31 pruebas aprobadas, 0 fallidas.</x:v>
      </x:c>
      <x:c r="I61" s="22" t="str">
        <x:v>personas/tests/test_usuario.py · test_filtro_por_delegacion · Revalidada en develop; suite general 210/210 OK (reporte Copilot).</x:v>
      </x:c>
      <x:c r="J61" s="22" t="str">
        <x:v>Aprobada</x:v>
      </x:c>
    </x:row>
    <x:row r="62" ht="43" customHeight="1">
      <x:c r="A62" s="26" t="str">
        <x:v>PU-USU-15</x:v>
      </x:c>
      <x:c r="B62" s="26" t="str">
        <x:v>No se borra funcionario con usuario</x:v>
      </x:c>
      <x:c r="C62" s="26" t="str">
        <x:v>Caja blanca</x:v>
      </x:c>
      <x:c r="D62" s="26" t="str">
        <x:v>HU18, HU19</x:v>
      </x:c>
      <x:c r="E62" s="26" t="str">
        <x:v>Patricio</x:v>
      </x:c>
      <x:c r="F62" s="26" t="str">
        <x:v>22-10-2026</x:v>
      </x:c>
      <x:c r="G62" s="26" t="str">
        <x:v>Se verifica el escenario y las aserciones definidas en el test.</x:v>
      </x:c>
      <x:c r="H62" s="26" t="str">
        <x:v>OK — suite personas: 31 pruebas aprobadas, 0 fallidas.</x:v>
      </x:c>
      <x:c r="I62" s="26" t="str">
        <x:v>personas/tests/test_usuario.py · test_no_se_borra_funcionario_con_usuario · Revalidada en develop; suite general 210/210 OK (reporte Copilot).</x:v>
      </x:c>
      <x:c r="J62" s="26" t="str">
        <x:v>Aprobada</x:v>
      </x:c>
    </x:row>
    <x:row r="63" ht="43" customHeight="1">
      <x:c r="A63" s="22" t="str">
        <x:v>PU-USU-16</x:v>
      </x:c>
      <x:c r="B63" s="22" t="str">
        <x:v>Inicio de sesión ok</x:v>
      </x:c>
      <x:c r="C63" s="22" t="str">
        <x:v>Caja blanca</x:v>
      </x:c>
      <x:c r="D63" s="22" t="str">
        <x:v>HU18, HU19</x:v>
      </x:c>
      <x:c r="E63" s="22" t="str">
        <x:v>Patricio</x:v>
      </x:c>
      <x:c r="F63" s="22" t="str">
        <x:v>22-10-2026</x:v>
      </x:c>
      <x:c r="G63" s="22" t="str">
        <x:v>La autenticación acepta credenciales válidas y rechaza inválidas.</x:v>
      </x:c>
      <x:c r="H63" s="22" t="str">
        <x:v>OK — suite personas: 31 pruebas aprobadas, 0 fallidas.</x:v>
      </x:c>
      <x:c r="I63" s="22" t="str">
        <x:v>personas/tests/test_usuario.py · test_login_ok · Revalidada en develop; suite general 210/210 OK (reporte Copilot).</x:v>
      </x:c>
      <x:c r="J63" s="22" t="str">
        <x:v>Aprobada</x:v>
      </x:c>
    </x:row>
    <x:row r="64" ht="43" customHeight="1">
      <x:c r="A64" s="26" t="str">
        <x:v>PU-USU-17</x:v>
      </x:c>
      <x:c r="B64" s="26" t="str">
        <x:v>Inicio de sesión mala clave</x:v>
      </x:c>
      <x:c r="C64" s="26" t="str">
        <x:v>Caja blanca</x:v>
      </x:c>
      <x:c r="D64" s="26" t="str">
        <x:v>HU18, HU19</x:v>
      </x:c>
      <x:c r="E64" s="26" t="str">
        <x:v>Patricio</x:v>
      </x:c>
      <x:c r="F64" s="26" t="str">
        <x:v>22-10-2026</x:v>
      </x:c>
      <x:c r="G64" s="26" t="str">
        <x:v>La autenticación acepta credenciales válidas y rechaza inválidas.</x:v>
      </x:c>
      <x:c r="H64" s="26" t="str">
        <x:v>OK — suite personas: 31 pruebas aprobadas, 0 fallidas.</x:v>
      </x:c>
      <x:c r="I64" s="26" t="str">
        <x:v>personas/tests/test_usuario.py · test_login_mala_clave · Revalidada en develop; suite general 210/210 OK (reporte Copilot).</x:v>
      </x:c>
      <x:c r="J64" s="26" t="str">
        <x:v>Aprobada</x:v>
      </x:c>
    </x:row>
    <x:row r="65" ht="43" customHeight="1">
      <x:c r="A65" s="22" t="str">
        <x:v>PU-USU-18</x:v>
      </x:c>
      <x:c r="B65" s="22" t="str">
        <x:v>Usuario inactivo no entra</x:v>
      </x:c>
      <x:c r="C65" s="22" t="str">
        <x:v>Caja blanca</x:v>
      </x:c>
      <x:c r="D65" s="22" t="str">
        <x:v>HU18, HU19</x:v>
      </x:c>
      <x:c r="E65" s="22" t="str">
        <x:v>Patricio</x:v>
      </x:c>
      <x:c r="F65" s="22" t="str">
        <x:v>22-10-2026</x:v>
      </x:c>
      <x:c r="G65" s="22" t="str">
        <x:v>Se impide la operación o acceso no autorizado.</x:v>
      </x:c>
      <x:c r="H65" s="22" t="str">
        <x:v>OK — suite personas: 31 pruebas aprobadas, 0 fallidas.</x:v>
      </x:c>
      <x:c r="I65" s="22" t="str">
        <x:v>personas/tests/test_usuario.py · test_usuario_inactivo_no_entra · Revalidada en develop; suite general 210/210 OK (reporte Copilot).</x:v>
      </x:c>
      <x:c r="J65" s="22" t="str">
        <x:v>Aprobada</x:v>
      </x:c>
    </x:row>
    <x:row r="66" ht="43" customHeight="1">
      <x:c r="A66" s="26" t="str">
        <x:v>PU-FUN-01</x:v>
      </x:c>
      <x:c r="B66" s="26" t="str">
        <x:v>Crear</x:v>
      </x:c>
      <x:c r="C66" s="26" t="str">
        <x:v>Caja blanca</x:v>
      </x:c>
      <x:c r="D66" s="26" t="str">
        <x:v>HU18</x:v>
      </x:c>
      <x:c r="E66" s="26" t="str">
        <x:v>Fernando</x:v>
      </x:c>
      <x:c r="F66" s="26" t="str">
        <x:v>22-10-2026</x:v>
      </x:c>
      <x:c r="G66" s="26" t="str">
        <x:v>El alta o flujo completo concluye con datos relacionados válidos.</x:v>
      </x:c>
      <x:c r="H66" s="26" t="str">
        <x:v>OK — suite personas: 31 pruebas aprobadas, 0 fallidas.</x:v>
      </x:c>
      <x:c r="I66" s="26" t="str">
        <x:v>personas/tests/test_funcionario.py · test_crear · Revalidada en develop; suite general 210/210 OK (reporte Copilot).</x:v>
      </x:c>
      <x:c r="J66" s="26" t="str">
        <x:v>Aprobada</x:v>
      </x:c>
    </x:row>
    <x:row r="67" ht="43" customHeight="1">
      <x:c r="A67" s="22" t="str">
        <x:v>PU-FUN-02</x:v>
      </x:c>
      <x:c r="B67" s="22" t="str">
        <x:v>Editar</x:v>
      </x:c>
      <x:c r="C67" s="22" t="str">
        <x:v>Caja blanca</x:v>
      </x:c>
      <x:c r="D67" s="22" t="str">
        <x:v>HU18</x:v>
      </x:c>
      <x:c r="E67" s="22" t="str">
        <x:v>Fernando</x:v>
      </x:c>
      <x:c r="F67" s="22" t="str">
        <x:v>22-10-2026</x:v>
      </x:c>
      <x:c r="G67" s="22" t="str">
        <x:v>La actualización se realiza respetando restricciones de negocio.</x:v>
      </x:c>
      <x:c r="H67" s="22" t="str">
        <x:v>OK — suite personas: 31 pruebas aprobadas, 0 fallidas.</x:v>
      </x:c>
      <x:c r="I67" s="22" t="str">
        <x:v>personas/tests/test_funcionario.py · test_editar · Revalidada en develop; suite general 210/210 OK (reporte Copilot).</x:v>
      </x:c>
      <x:c r="J67" s="22" t="str">
        <x:v>Aprobada</x:v>
      </x:c>
    </x:row>
    <x:row r="68" ht="43" customHeight="1">
      <x:c r="A68" s="26" t="str">
        <x:v>PU-FUN-03</x:v>
      </x:c>
      <x:c r="B68" s="26" t="str">
        <x:v>Identificador duplicado</x:v>
      </x:c>
      <x:c r="C68" s="26" t="str">
        <x:v>Caja blanca</x:v>
      </x:c>
      <x:c r="D68" s="26" t="str">
        <x:v>HU18</x:v>
      </x:c>
      <x:c r="E68" s="26" t="str">
        <x:v>Fernando</x:v>
      </x:c>
      <x:c r="F68" s="26" t="str">
        <x:v>22-10-2026</x:v>
      </x:c>
      <x:c r="G68" s="26" t="str">
        <x:v>Validación impide el dato duplicado, inválido o incompatible.</x:v>
      </x:c>
      <x:c r="H68" s="26" t="str">
        <x:v>OK — suite personas: 31 pruebas aprobadas, 0 fallidas.</x:v>
      </x:c>
      <x:c r="I68" s="26" t="str">
        <x:v>personas/tests/test_funcionario.py · test_identificador_duplicado · Revalidada en develop; suite general 210/210 OK (reporte Copilot).</x:v>
      </x:c>
      <x:c r="J68" s="26" t="str">
        <x:v>Aprobada</x:v>
      </x:c>
    </x:row>
    <x:row r="69" ht="43" customHeight="1">
      <x:c r="A69" s="22" t="str">
        <x:v>PU-FUN-04</x:v>
      </x:c>
      <x:c r="B69" s="22" t="str">
        <x:v>Identificador vacio</x:v>
      </x:c>
      <x:c r="C69" s="22" t="str">
        <x:v>Caja blanca</x:v>
      </x:c>
      <x:c r="D69" s="22" t="str">
        <x:v>HU18</x:v>
      </x:c>
      <x:c r="E69" s="22" t="str">
        <x:v>Fernando</x:v>
      </x:c>
      <x:c r="F69" s="22" t="str">
        <x:v>22-10-2026</x:v>
      </x:c>
      <x:c r="G69" s="22" t="str">
        <x:v>Se verifica el escenario y las aserciones definidas en el test.</x:v>
      </x:c>
      <x:c r="H69" s="22" t="str">
        <x:v>OK — suite personas: 31 pruebas aprobadas, 0 fallidas.</x:v>
      </x:c>
      <x:c r="I69" s="22" t="str">
        <x:v>personas/tests/test_funcionario.py · test_identificador_vacio · Revalidada en develop; suite general 210/210 OK (reporte Copilot).</x:v>
      </x:c>
      <x:c r="J69" s="22" t="str">
        <x:v>Aprobada</x:v>
      </x:c>
    </x:row>
    <x:row r="70" ht="43" customHeight="1">
      <x:c r="A70" s="26" t="str">
        <x:v>PU-FUN-05</x:v>
      </x:c>
      <x:c r="B70" s="26" t="str">
        <x:v>Identificador muy largo</x:v>
      </x:c>
      <x:c r="C70" s="26" t="str">
        <x:v>Caja blanca</x:v>
      </x:c>
      <x:c r="D70" s="26" t="str">
        <x:v>HU18</x:v>
      </x:c>
      <x:c r="E70" s="26" t="str">
        <x:v>Fernando</x:v>
      </x:c>
      <x:c r="F70" s="26" t="str">
        <x:v>22-10-2026</x:v>
      </x:c>
      <x:c r="G70" s="26" t="str">
        <x:v>Se verifica el escenario y las aserciones definidas en el test.</x:v>
      </x:c>
      <x:c r="H70" s="26" t="str">
        <x:v>OK — suite personas: 31 pruebas aprobadas, 0 fallidas.</x:v>
      </x:c>
      <x:c r="I70" s="26" t="str">
        <x:v>personas/tests/test_funcionario.py · test_identificador_muy_largo · Revalidada en develop; suite general 210/210 OK (reporte Copilot).</x:v>
      </x:c>
      <x:c r="J70" s="26" t="str">
        <x:v>Aprobada</x:v>
      </x:c>
    </x:row>
    <x:row r="71" ht="43" customHeight="1">
      <x:c r="A71" s="22" t="str">
        <x:v>PU-FUN-06</x:v>
      </x:c>
      <x:c r="B71" s="22" t="str">
        <x:v>Nombre vacio</x:v>
      </x:c>
      <x:c r="C71" s="22" t="str">
        <x:v>Caja blanca</x:v>
      </x:c>
      <x:c r="D71" s="22" t="str">
        <x:v>HU18</x:v>
      </x:c>
      <x:c r="E71" s="22" t="str">
        <x:v>Fernando</x:v>
      </x:c>
      <x:c r="F71" s="22" t="str">
        <x:v>22-10-2026</x:v>
      </x:c>
      <x:c r="G71" s="22" t="str">
        <x:v>Se verifica el escenario y las aserciones definidas en el test.</x:v>
      </x:c>
      <x:c r="H71" s="22" t="str">
        <x:v>OK — suite personas: 31 pruebas aprobadas, 0 fallidas.</x:v>
      </x:c>
      <x:c r="I71" s="22" t="str">
        <x:v>personas/tests/test_funcionario.py · test_nombre_vacio · Revalidada en develop; suite general 210/210 OK (reporte Copilot).</x:v>
      </x:c>
      <x:c r="J71" s="22" t="str">
        <x:v>Aprobada</x:v>
      </x:c>
    </x:row>
    <x:row r="72" ht="43" customHeight="1">
      <x:c r="A72" s="26" t="str">
        <x:v>PU-FUN-07</x:v>
      </x:c>
      <x:c r="B72" s="26" t="str">
        <x:v>Delegacion inexistente</x:v>
      </x:c>
      <x:c r="C72" s="26" t="str">
        <x:v>Caja blanca</x:v>
      </x:c>
      <x:c r="D72" s="26" t="str">
        <x:v>HU18</x:v>
      </x:c>
      <x:c r="E72" s="26" t="str">
        <x:v>Fernando</x:v>
      </x:c>
      <x:c r="F72" s="26" t="str">
        <x:v>22-10-2026</x:v>
      </x:c>
      <x:c r="G72" s="26" t="str">
        <x:v>Se verifica el escenario y las aserciones definidas en el test.</x:v>
      </x:c>
      <x:c r="H72" s="26" t="str">
        <x:v>OK — suite personas: 31 pruebas aprobadas, 0 fallidas.</x:v>
      </x:c>
      <x:c r="I72" s="26" t="str">
        <x:v>personas/tests/test_funcionario.py · test_delegacion_inexistente · Revalidada en develop; suite general 210/210 OK (reporte Copilot).</x:v>
      </x:c>
      <x:c r="J72" s="26" t="str">
        <x:v>Aprobada</x:v>
      </x:c>
    </x:row>
    <x:row r="73" ht="43" customHeight="1">
      <x:c r="A73" s="22" t="str">
        <x:v>PU-FUN-08</x:v>
      </x:c>
      <x:c r="B73" s="22" t="str">
        <x:v>Delegacion inactiva rechazada</x:v>
      </x:c>
      <x:c r="C73" s="22" t="str">
        <x:v>Caja blanca</x:v>
      </x:c>
      <x:c r="D73" s="22" t="str">
        <x:v>HU18</x:v>
      </x:c>
      <x:c r="E73" s="22" t="str">
        <x:v>Fernando</x:v>
      </x:c>
      <x:c r="F73" s="22" t="str">
        <x:v>22-10-2026</x:v>
      </x:c>
      <x:c r="G73" s="22" t="str">
        <x:v>Validación impide el dato duplicado, inválido o incompatible.</x:v>
      </x:c>
      <x:c r="H73" s="22" t="str">
        <x:v>OK — suite personas: 31 pruebas aprobadas, 0 fallidas.</x:v>
      </x:c>
      <x:c r="I73" s="22" t="str">
        <x:v>personas/tests/test_funcionario.py · test_delegacion_inactiva_rechazada · Revalidada en develop; suite general 210/210 OK (reporte Copilot).</x:v>
      </x:c>
      <x:c r="J73" s="22" t="str">
        <x:v>Aprobada</x:v>
      </x:c>
    </x:row>
    <x:row r="74" ht="43" customHeight="1">
      <x:c r="A74" s="26" t="str">
        <x:v>PU-FUN-09</x:v>
      </x:c>
      <x:c r="B74" s="26" t="str">
        <x:v>Cargo no vigente rechazado</x:v>
      </x:c>
      <x:c r="C74" s="26" t="str">
        <x:v>Caja blanca</x:v>
      </x:c>
      <x:c r="D74" s="26" t="str">
        <x:v>HU18</x:v>
      </x:c>
      <x:c r="E74" s="26" t="str">
        <x:v>Fernando</x:v>
      </x:c>
      <x:c r="F74" s="26" t="str">
        <x:v>22-10-2026</x:v>
      </x:c>
      <x:c r="G74" s="26" t="str">
        <x:v>Validación impide el dato duplicado, inválido o incompatible.</x:v>
      </x:c>
      <x:c r="H74" s="26" t="str">
        <x:v>OK — suite personas: 31 pruebas aprobadas, 0 fallidas.</x:v>
      </x:c>
      <x:c r="I74" s="26" t="str">
        <x:v>personas/tests/test_funcionario.py · test_cargo_no_vigente_rechazado · Revalidada en develop; suite general 210/210 OK (reporte Copilot).</x:v>
      </x:c>
      <x:c r="J74" s="26" t="str">
        <x:v>Aprobada</x:v>
      </x:c>
    </x:row>
    <x:row r="75" ht="43" customHeight="1">
      <x:c r="A75" s="22" t="str">
        <x:v>PU-FUN-10</x:v>
      </x:c>
      <x:c r="B75" s="22" t="str">
        <x:v>Editar sin cambiar delegacion inactiva</x:v>
      </x:c>
      <x:c r="C75" s="22" t="str">
        <x:v>Caja blanca</x:v>
      </x:c>
      <x:c r="D75" s="22" t="str">
        <x:v>HU18</x:v>
      </x:c>
      <x:c r="E75" s="22" t="str">
        <x:v>Fernando</x:v>
      </x:c>
      <x:c r="F75" s="22" t="str">
        <x:v>22-10-2026</x:v>
      </x:c>
      <x:c r="G75" s="22" t="str">
        <x:v>La actualización se realiza respetando restricciones de negocio.</x:v>
      </x:c>
      <x:c r="H75" s="22" t="str">
        <x:v>OK — suite personas: 31 pruebas aprobadas, 0 fallidas.</x:v>
      </x:c>
      <x:c r="I75" s="22" t="str">
        <x:v>personas/tests/test_funcionario.py · test_editar_sin_cambiar_delegacion_inactiva · Revalidada en develop; suite general 210/210 OK (reporte Copilot).</x:v>
      </x:c>
      <x:c r="J75" s="22" t="str">
        <x:v>Aprobada</x:v>
      </x:c>
    </x:row>
    <x:row r="76" ht="43" customHeight="1">
      <x:c r="A76" s="26" t="str">
        <x:v>PU-FUN-11</x:v>
      </x:c>
      <x:c r="B76" s="26" t="str">
        <x:v>Desactivar</x:v>
      </x:c>
      <x:c r="C76" s="26" t="str">
        <x:v>Caja blanca</x:v>
      </x:c>
      <x:c r="D76" s="26" t="str">
        <x:v>HU18</x:v>
      </x:c>
      <x:c r="E76" s="26" t="str">
        <x:v>Fernando</x:v>
      </x:c>
      <x:c r="F76" s="26" t="str">
        <x:v>22-10-2026</x:v>
      </x:c>
      <x:c r="G76" s="26" t="str">
        <x:v>La desactivación cambia el estado sin borrar físicamente.</x:v>
      </x:c>
      <x:c r="H76" s="26" t="str">
        <x:v>OK — suite personas: 31 pruebas aprobadas, 0 fallidas.</x:v>
      </x:c>
      <x:c r="I76" s="26" t="str">
        <x:v>personas/tests/test_funcionario.py · test_desactivar · Revalidada en develop; suite general 210/210 OK (reporte Copilot).</x:v>
      </x:c>
      <x:c r="J76" s="26" t="str">
        <x:v>Aprobada</x:v>
      </x:c>
    </x:row>
    <x:row r="77" ht="43" customHeight="1">
      <x:c r="A77" s="22" t="str">
        <x:v>PU-FUN-12</x:v>
      </x:c>
      <x:c r="B77" s="22" t="str">
        <x:v>No admin denegado</x:v>
      </x:c>
      <x:c r="C77" s="22" t="str">
        <x:v>Caja blanca</x:v>
      </x:c>
      <x:c r="D77" s="22" t="str">
        <x:v>HU18</x:v>
      </x:c>
      <x:c r="E77" s="22" t="str">
        <x:v>Fernando</x:v>
      </x:c>
      <x:c r="F77" s="22" t="str">
        <x:v>22-10-2026</x:v>
      </x:c>
      <x:c r="G77" s="22" t="str">
        <x:v>Se impide la operación o acceso no autorizado.</x:v>
      </x:c>
      <x:c r="H77" s="22" t="str">
        <x:v>OK — suite personas: 31 pruebas aprobadas, 0 fallidas.</x:v>
      </x:c>
      <x:c r="I77" s="22" t="str">
        <x:v>personas/tests/test_funcionario.py · test_no_admin_denegado · Revalidada en develop; suite general 210/210 OK (reporte Copilot).</x:v>
      </x:c>
      <x:c r="J77" s="22" t="str">
        <x:v>Aprobada</x:v>
      </x:c>
    </x:row>
    <x:row r="78" ht="43" customHeight="1">
      <x:c r="A78" s="26" t="str">
        <x:v>PU-FUN-13</x:v>
      </x:c>
      <x:c r="B78" s="26" t="str">
        <x:v>Listado busqueda y filtros</x:v>
      </x:c>
      <x:c r="C78" s="26" t="str">
        <x:v>Caja blanca</x:v>
      </x:c>
      <x:c r="D78" s="26" t="str">
        <x:v>HU18</x:v>
      </x:c>
      <x:c r="E78" s="26" t="str">
        <x:v>Fernando</x:v>
      </x:c>
      <x:c r="F78" s="26" t="str">
        <x:v>22-10-2026</x:v>
      </x:c>
      <x:c r="G78" s="26" t="str">
        <x:v>La consulta devuelve resultados de acuerdo con filtros y búsqueda.</x:v>
      </x:c>
      <x:c r="H78" s="26" t="str">
        <x:v>OK — suite personas: 31 pruebas aprobadas, 0 fallidas.</x:v>
      </x:c>
      <x:c r="I78" s="26" t="str">
        <x:v>personas/tests/test_funcionario.py · test_listado_busqueda_y_filtros · Revalidada en develop; suite general 210/210 OK (reporte Copilot).</x:v>
      </x:c>
      <x:c r="J78" s="26" t="str">
        <x:v>Aprobada</x:v>
      </x:c>
    </x:row>
    <x:row r="79" ht="43" customHeight="1">
      <x:c r="A79" s="28" t="str">
        <x:v>PU-VEC-01</x:v>
      </x:c>
      <x:c r="B79" s="28" t="str">
        <x:v>Crear editar auditar y desactivar</x:v>
      </x:c>
      <x:c r="C79" s="28" t="str">
        <x:v>Caja blanca</x:v>
      </x:c>
      <x:c r="D79" s="28" t="str">
        <x:v>HU27</x:v>
      </x:c>
      <x:c r="E79" s="28" t="str">
        <x:v>Pamela</x:v>
      </x:c>
      <x:c r="F79" s="28" t="str">
        <x:v>22-10-2026</x:v>
      </x:c>
      <x:c r="G79" s="28" t="str">
        <x:v>Alta 201, edición 200, baja lógica 204 y eventos de auditoría.</x:v>
      </x:c>
      <x:c r="H79" s="28" t="str">
        <x:v>OK — suite territorio: 15 pruebas aprobadas, 0 fallidas.</x:v>
      </x:c>
      <x:c r="I79" s="28" t="str">
        <x:v>territorio/tests/test_vecino.py · test_crear_editar_auditar_y_desactivar · Revalidada en develop; suite general 210/210 OK (reporte Copilot).</x:v>
      </x:c>
      <x:c r="J79" s="28" t="str">
        <x:v>Aprobada</x:v>
      </x:c>
    </x:row>
    <x:row r="80" ht="43" customHeight="1">
      <x:c r="A80" s="28" t="str">
        <x:v>PU-VEC-02</x:v>
      </x:c>
      <x:c r="B80" s="28" t="str">
        <x:v>Rechaza obligatorios RUT invalido y duplicado</x:v>
      </x:c>
      <x:c r="C80" s="28" t="str">
        <x:v>Caja blanca</x:v>
      </x:c>
      <x:c r="D80" s="28" t="str">
        <x:v>HU27</x:v>
      </x:c>
      <x:c r="E80" s="28" t="str">
        <x:v>Pamela</x:v>
      </x:c>
      <x:c r="F80" s="28" t="str">
        <x:v>22-10-2026</x:v>
      </x:c>
      <x:c r="G80" s="28" t="str">
        <x:v>Entradas incompletas, duplicadas o con relaciones inválidas se rechazan (HTTP 400).</x:v>
      </x:c>
      <x:c r="H80" s="28" t="str">
        <x:v>OK — suite territorio: 15 pruebas aprobadas, 0 fallidas.</x:v>
      </x:c>
      <x:c r="I80" s="28" t="str">
        <x:v>territorio/tests/test_vecino.py · test_rechaza_obligatorios_rut_invalido_y_duplicado · Revalidada en develop; suite general 210/210 OK (reporte Copilot).</x:v>
      </x:c>
      <x:c r="J80" s="28" t="str">
        <x:v>Aprobada</x:v>
      </x:c>
    </x:row>
    <x:row r="81" ht="43" customHeight="1">
      <x:c r="A81" s="28" t="str">
        <x:v>PU-VEC-03</x:v>
      </x:c>
      <x:c r="B81" s="28" t="str">
        <x:v>Control acceso busqueda filtro y paginacion</x:v>
      </x:c>
      <x:c r="C81" s="28" t="str">
        <x:v>Caja blanca</x:v>
      </x:c>
      <x:c r="D81" s="28" t="str">
        <x:v>HU27</x:v>
      </x:c>
      <x:c r="E81" s="28" t="str">
        <x:v>Pamela</x:v>
      </x:c>
      <x:c r="F81" s="28" t="str">
        <x:v>22-10-2026</x:v>
      </x:c>
      <x:c r="G81" s="28" t="str">
        <x:v>Búsqueda/filtro y paginación correctos; rol no administrador recibe HTTP 403.</x:v>
      </x:c>
      <x:c r="H81" s="28" t="str">
        <x:v>OK — suite territorio: 15 pruebas aprobadas, 0 fallidas.</x:v>
      </x:c>
      <x:c r="I81" s="28" t="str">
        <x:v>territorio/tests/test_vecino.py · test_control_acceso_busqueda_filtro_y_paginacion · Revalidada en develop; suite general 210/210 OK (reporte Copilot).</x:v>
      </x:c>
      <x:c r="J81" s="28" t="str">
        <x:v>Aprobada</x:v>
      </x:c>
    </x:row>
    <x:row r="82" ht="43" customHeight="1">
      <x:c r="A82" s="28" t="str">
        <x:v>PU-VEC-04</x:v>
      </x:c>
      <x:c r="B82" s="28" t="str">
        <x:v>Sin autenticacion denegado</x:v>
      </x:c>
      <x:c r="C82" s="28" t="str">
        <x:v>Caja blanca</x:v>
      </x:c>
      <x:c r="D82" s="28" t="str">
        <x:v>HU27</x:v>
      </x:c>
      <x:c r="E82" s="28" t="str">
        <x:v>Pamela</x:v>
      </x:c>
      <x:c r="F82" s="28" t="str">
        <x:v>22-10-2026</x:v>
      </x:c>
      <x:c r="G82" s="28" t="str">
        <x:v>La solicitud sin sesión recibe HTTP 403.</x:v>
      </x:c>
      <x:c r="H82" s="28" t="str">
        <x:v>OK — suite territorio: 15 pruebas aprobadas, 0 fallidas.</x:v>
      </x:c>
      <x:c r="I82" s="28" t="str">
        <x:v>territorio/tests/test_vecino.py · test_sin_autenticacion_denegado · Revalidada en develop; suite general 210/210 OK (reporte Copilot).</x:v>
      </x:c>
      <x:c r="J82" s="28" t="str">
        <x:v>Aprobada</x:v>
      </x:c>
    </x:row>
    <x:row r="83" ht="43" customHeight="1">
      <x:c r="A83" s="28" t="str">
        <x:v>PU-VEC-05</x:v>
      </x:c>
      <x:c r="B83" s="28" t="str">
        <x:v>Desactivacion conserva el registro</x:v>
      </x:c>
      <x:c r="C83" s="28" t="str">
        <x:v>Caja blanca</x:v>
      </x:c>
      <x:c r="D83" s="28" t="str">
        <x:v>HU27</x:v>
      </x:c>
      <x:c r="E83" s="28" t="str">
        <x:v>Pamela</x:v>
      </x:c>
      <x:c r="F83" s="28" t="str">
        <x:v>22-10-2026</x:v>
      </x:c>
      <x:c r="G83" s="28" t="str">
        <x:v>La baja responde 204; el registro existe con estado inactivo.</x:v>
      </x:c>
      <x:c r="H83" s="28" t="str">
        <x:v>OK — suite territorio: 15 pruebas aprobadas, 0 fallidas.</x:v>
      </x:c>
      <x:c r="I83" s="28" t="str">
        <x:v>territorio/tests/test_vecino.py · test_desactivacion_conserva_el_registro · Revalidada en develop; suite general 210/210 OK (reporte Copilot).</x:v>
      </x:c>
      <x:c r="J83" s="28" t="str">
        <x:v>Aprobada</x:v>
      </x:c>
    </x:row>
    <x:row r="84" ht="43" customHeight="1">
      <x:c r="A84" s="28" t="str">
        <x:v>PU-TER-01</x:v>
      </x:c>
      <x:c r="B84" s="28" t="str">
        <x:v>Crear editar auditar y desactivar</x:v>
      </x:c>
      <x:c r="C84" s="28" t="str">
        <x:v>Caja blanca</x:v>
      </x:c>
      <x:c r="D84" s="28" t="str">
        <x:v>HU28</x:v>
      </x:c>
      <x:c r="E84" s="28" t="str">
        <x:v>Pamela</x:v>
      </x:c>
      <x:c r="F84" s="28" t="str">
        <x:v>22-10-2026</x:v>
      </x:c>
      <x:c r="G84" s="28" t="str">
        <x:v>Alta 201, edición 200, baja lógica 204 y eventos de auditoría.</x:v>
      </x:c>
      <x:c r="H84" s="28" t="str">
        <x:v>OK — suite territorio: 15 pruebas aprobadas, 0 fallidas.</x:v>
      </x:c>
      <x:c r="I84" s="28" t="str">
        <x:v>territorio/tests/test_territorio.py · test_crear_editar_auditar_y_desactivar · Revalidada en develop; suite general 210/210 OK (reporte Copilot).</x:v>
      </x:c>
      <x:c r="J84" s="28" t="str">
        <x:v>Aprobada</x:v>
      </x:c>
    </x:row>
    <x:row r="85" ht="43" customHeight="1">
      <x:c r="A85" s="28" t="str">
        <x:v>PU-TER-02</x:v>
      </x:c>
      <x:c r="B85" s="28" t="str">
        <x:v>Rechaza obligatorios duplicados y delegacion inactiva</x:v>
      </x:c>
      <x:c r="C85" s="28" t="str">
        <x:v>Caja blanca</x:v>
      </x:c>
      <x:c r="D85" s="28" t="str">
        <x:v>HU28</x:v>
      </x:c>
      <x:c r="E85" s="28" t="str">
        <x:v>Pamela</x:v>
      </x:c>
      <x:c r="F85" s="28" t="str">
        <x:v>22-10-2026</x:v>
      </x:c>
      <x:c r="G85" s="28" t="str">
        <x:v>Entradas incompletas, duplicadas o con relaciones inválidas se rechazan (HTTP 400).</x:v>
      </x:c>
      <x:c r="H85" s="28" t="str">
        <x:v>OK — suite territorio: 15 pruebas aprobadas, 0 fallidas.</x:v>
      </x:c>
      <x:c r="I85" s="28" t="str">
        <x:v>territorio/tests/test_territorio.py · test_rechaza_obligatorios_duplicados_y_delegacion_inactiva · Revalidada en develop; suite general 210/210 OK (reporte Copilot).</x:v>
      </x:c>
      <x:c r="J85" s="28" t="str">
        <x:v>Aprobada</x:v>
      </x:c>
    </x:row>
    <x:row r="86" ht="43" customHeight="1">
      <x:c r="A86" s="28" t="str">
        <x:v>PU-TER-03</x:v>
      </x:c>
      <x:c r="B86" s="28" t="str">
        <x:v>Rechaza delegacion inexistente o inactiva</x:v>
      </x:c>
      <x:c r="C86" s="28" t="str">
        <x:v>Caja blanca</x:v>
      </x:c>
      <x:c r="D86" s="28" t="str">
        <x:v>HU28</x:v>
      </x:c>
      <x:c r="E86" s="28" t="str">
        <x:v>Pamela</x:v>
      </x:c>
      <x:c r="F86" s="28" t="str">
        <x:v>22-10-2026</x:v>
      </x:c>
      <x:c r="G86" s="28" t="str">
        <x:v>Relaciones inexistentes o inactivas se rechazan (HTTP 400).</x:v>
      </x:c>
      <x:c r="H86" s="28" t="str">
        <x:v>OK — suite territorio: 15 pruebas aprobadas, 0 fallidas.</x:v>
      </x:c>
      <x:c r="I86" s="28" t="str">
        <x:v>territorio/tests/test_territorio.py · test_rechaza_delegacion_inexistente_o_inactiva · Revalidada en develop; suite general 210/210 OK (reporte Copilot).</x:v>
      </x:c>
      <x:c r="J86" s="28" t="str">
        <x:v>Aprobada</x:v>
      </x:c>
    </x:row>
    <x:row r="87" ht="43" customHeight="1">
      <x:c r="A87" s="28" t="str">
        <x:v>PU-TER-04</x:v>
      </x:c>
      <x:c r="B87" s="28" t="str">
        <x:v>Busqueda filtro paginacion relacion y rol</x:v>
      </x:c>
      <x:c r="C87" s="28" t="str">
        <x:v>Caja blanca</x:v>
      </x:c>
      <x:c r="D87" s="28" t="str">
        <x:v>HU28</x:v>
      </x:c>
      <x:c r="E87" s="28" t="str">
        <x:v>Pamela</x:v>
      </x:c>
      <x:c r="F87" s="28" t="str">
        <x:v>22-10-2026</x:v>
      </x:c>
      <x:c r="G87" s="28" t="str">
        <x:v>Búsqueda/filtro y paginación correctos; rol no administrador recibe HTTP 403.</x:v>
      </x:c>
      <x:c r="H87" s="28" t="str">
        <x:v>OK — suite territorio: 15 pruebas aprobadas, 0 fallidas.</x:v>
      </x:c>
      <x:c r="I87" s="28" t="str">
        <x:v>territorio/tests/test_territorio.py · test_busqueda_filtro_paginacion_relacion_y_rol · Revalidada en develop; suite general 210/210 OK (reporte Copilot).</x:v>
      </x:c>
      <x:c r="J87" s="28" t="str">
        <x:v>Aprobada</x:v>
      </x:c>
    </x:row>
    <x:row r="88" ht="43" customHeight="1">
      <x:c r="A88" s="28" t="str">
        <x:v>PU-TER-05</x:v>
      </x:c>
      <x:c r="B88" s="28" t="str">
        <x:v>Sin autenticacion denegado</x:v>
      </x:c>
      <x:c r="C88" s="28" t="str">
        <x:v>Caja blanca</x:v>
      </x:c>
      <x:c r="D88" s="28" t="str">
        <x:v>HU28</x:v>
      </x:c>
      <x:c r="E88" s="28" t="str">
        <x:v>Pamela</x:v>
      </x:c>
      <x:c r="F88" s="28" t="str">
        <x:v>22-10-2026</x:v>
      </x:c>
      <x:c r="G88" s="28" t="str">
        <x:v>La solicitud sin sesión recibe HTTP 403.</x:v>
      </x:c>
      <x:c r="H88" s="28" t="str">
        <x:v>OK — suite territorio: 15 pruebas aprobadas, 0 fallidas.</x:v>
      </x:c>
      <x:c r="I88" s="28" t="str">
        <x:v>territorio/tests/test_territorio.py · test_sin_autenticacion_denegado · Revalidada en develop; suite general 210/210 OK (reporte Copilot).</x:v>
      </x:c>
      <x:c r="J88" s="28" t="str">
        <x:v>Aprobada</x:v>
      </x:c>
    </x:row>
    <x:row r="89" ht="43" customHeight="1">
      <x:c r="A89" s="28" t="str">
        <x:v>PU-JUN-01</x:v>
      </x:c>
      <x:c r="B89" s="28" t="str">
        <x:v>Crear editar auditar y desactivar</x:v>
      </x:c>
      <x:c r="C89" s="28" t="str">
        <x:v>Caja blanca</x:v>
      </x:c>
      <x:c r="D89" s="28" t="str">
        <x:v>HU28</x:v>
      </x:c>
      <x:c r="E89" s="28" t="str">
        <x:v>Pamela</x:v>
      </x:c>
      <x:c r="F89" s="28" t="str">
        <x:v>22-10-2026</x:v>
      </x:c>
      <x:c r="G89" s="28" t="str">
        <x:v>Alta 201, edición 200, baja lógica 204 y eventos de auditoría.</x:v>
      </x:c>
      <x:c r="H89" s="28" t="str">
        <x:v>OK — suite territorio: 15 pruebas aprobadas, 0 fallidas.</x:v>
      </x:c>
      <x:c r="I89" s="28" t="str">
        <x:v>territorio/tests/test_junta_vecinos.py · test_crear_editar_auditar_y_desactivar · Revalidada en develop; suite general 210/210 OK (reporte Copilot).</x:v>
      </x:c>
      <x:c r="J89" s="28" t="str">
        <x:v>Aprobada</x:v>
      </x:c>
    </x:row>
    <x:row r="90" ht="43" customHeight="1">
      <x:c r="A90" s="28" t="str">
        <x:v>PU-JUN-02</x:v>
      </x:c>
      <x:c r="B90" s="28" t="str">
        <x:v>Rechaza obligatorios duplicados y territorio inactivo</x:v>
      </x:c>
      <x:c r="C90" s="28" t="str">
        <x:v>Caja blanca</x:v>
      </x:c>
      <x:c r="D90" s="28" t="str">
        <x:v>HU28</x:v>
      </x:c>
      <x:c r="E90" s="28" t="str">
        <x:v>Pamela</x:v>
      </x:c>
      <x:c r="F90" s="28" t="str">
        <x:v>22-10-2026</x:v>
      </x:c>
      <x:c r="G90" s="28" t="str">
        <x:v>Entradas incompletas, duplicadas o con relaciones inválidas se rechazan (HTTP 400).</x:v>
      </x:c>
      <x:c r="H90" s="28" t="str">
        <x:v>OK — suite territorio: 15 pruebas aprobadas, 0 fallidas.</x:v>
      </x:c>
      <x:c r="I90" s="28" t="str">
        <x:v>territorio/tests/test_junta_vecinos.py · test_rechaza_obligatorios_duplicados_y_territorio_inactivo · Revalidada en develop; suite general 210/210 OK (reporte Copilot).</x:v>
      </x:c>
      <x:c r="J90" s="28" t="str">
        <x:v>Aprobada</x:v>
      </x:c>
    </x:row>
    <x:row r="91" ht="43" customHeight="1">
      <x:c r="A91" s="28" t="str">
        <x:v>PU-JUN-03</x:v>
      </x:c>
      <x:c r="B91" s="28" t="str">
        <x:v>Rechaza territorio inexistente y negativo</x:v>
      </x:c>
      <x:c r="C91" s="28" t="str">
        <x:v>Caja blanca</x:v>
      </x:c>
      <x:c r="D91" s="28" t="str">
        <x:v>HU28</x:v>
      </x:c>
      <x:c r="E91" s="28" t="str">
        <x:v>Pamela</x:v>
      </x:c>
      <x:c r="F91" s="28" t="str">
        <x:v>22-10-2026</x:v>
      </x:c>
      <x:c r="G91" s="28" t="str">
        <x:v>Relaciones inexistentes o inactivas se rechazan (HTTP 400).</x:v>
      </x:c>
      <x:c r="H91" s="28" t="str">
        <x:v>OK — suite territorio: 15 pruebas aprobadas, 0 fallidas.</x:v>
      </x:c>
      <x:c r="I91" s="28" t="str">
        <x:v>territorio/tests/test_junta_vecinos.py · test_rechaza_territorio_inexistente_y_negativo · Revalidada en develop; suite general 210/210 OK (reporte Copilot).</x:v>
      </x:c>
      <x:c r="J91" s="28" t="str">
        <x:v>Aprobada</x:v>
      </x:c>
    </x:row>
    <x:row r="92" ht="43" customHeight="1">
      <x:c r="A92" s="28" t="str">
        <x:v>PU-JUN-04</x:v>
      </x:c>
      <x:c r="B92" s="28" t="str">
        <x:v>Busqueda filtro paginacion relacion y rol</x:v>
      </x:c>
      <x:c r="C92" s="28" t="str">
        <x:v>Caja blanca</x:v>
      </x:c>
      <x:c r="D92" s="28" t="str">
        <x:v>HU28</x:v>
      </x:c>
      <x:c r="E92" s="28" t="str">
        <x:v>Pamela</x:v>
      </x:c>
      <x:c r="F92" s="28" t="str">
        <x:v>22-10-2026</x:v>
      </x:c>
      <x:c r="G92" s="28" t="str">
        <x:v>Búsqueda/filtro y paginación correctos; rol no administrador recibe HTTP 403.</x:v>
      </x:c>
      <x:c r="H92" s="28" t="str">
        <x:v>OK — suite territorio: 15 pruebas aprobadas, 0 fallidas.</x:v>
      </x:c>
      <x:c r="I92" s="28" t="str">
        <x:v>territorio/tests/test_junta_vecinos.py · test_busqueda_filtro_paginacion_relacion_y_rol · Revalidada en develop; suite general 210/210 OK (reporte Copilot).</x:v>
      </x:c>
      <x:c r="J92" s="28" t="str">
        <x:v>Aprobada</x:v>
      </x:c>
    </x:row>
    <x:row r="93" ht="43" customHeight="1">
      <x:c r="A93" s="28" t="str">
        <x:v>PU-JUN-05</x:v>
      </x:c>
      <x:c r="B93" s="28" t="str">
        <x:v>Sin autenticacion denegado</x:v>
      </x:c>
      <x:c r="C93" s="28" t="str">
        <x:v>Caja blanca</x:v>
      </x:c>
      <x:c r="D93" s="28" t="str">
        <x:v>HU28</x:v>
      </x:c>
      <x:c r="E93" s="28" t="str">
        <x:v>Pamela</x:v>
      </x:c>
      <x:c r="F93" s="28" t="str">
        <x:v>22-10-2026</x:v>
      </x:c>
      <x:c r="G93" s="28" t="str">
        <x:v>La solicitud sin sesión recibe HTTP 403.</x:v>
      </x:c>
      <x:c r="H93" s="28" t="str">
        <x:v>OK — suite territorio: 15 pruebas aprobadas, 0 fallidas.</x:v>
      </x:c>
      <x:c r="I93" s="28" t="str">
        <x:v>territorio/tests/test_junta_vecinos.py · test_sin_autenticacion_denegado · Revalidada en develop; suite general 210/210 OK (reporte Copilot).</x:v>
      </x:c>
      <x:c r="J93" s="28" t="str">
        <x:v>Aprobada</x:v>
      </x:c>
    </x:row>
    <x:row r="94" ht="43" customHeight="1">
      <x:c r="A94" s="26" t="str">
        <x:v>PU-PER-01</x:v>
      </x:c>
      <x:c r="B94" s="26" t="str">
        <x:v>Crear periodo exitoso</x:v>
      </x:c>
      <x:c r="C94" s="26" t="str">
        <x:v>Caja blanca</x:v>
      </x:c>
      <x:c r="D94" s="26" t="str">
        <x:v>HU09</x:v>
      </x:c>
      <x:c r="E94" s="26" t="str">
        <x:v>Valentina</x:v>
      </x:c>
      <x:c r="F94" s="26" t="str">
        <x:v>22-10-2026</x:v>
      </x:c>
      <x:c r="G94" s="26" t="str">
        <x:v>El alta o flujo completo concluye con datos relacionados válidos.</x:v>
      </x:c>
      <x:c r="H94" s="26" t="str">
        <x:v>OK — suite metas: 11 pruebas aprobadas, 0 fallidas.</x:v>
      </x:c>
      <x:c r="I94" s="26" t="str">
        <x:v>metas/tests/test_periodo.py · test_crear_periodo_exitoso · Revalidada en develop; suite general 210/210 OK (reporte Copilot).</x:v>
      </x:c>
      <x:c r="J94" s="26" t="str">
        <x:v>Aprobada</x:v>
      </x:c>
    </x:row>
    <x:row r="95" ht="43" customHeight="1">
      <x:c r="A95" s="22" t="str">
        <x:v>PU-PER-02</x:v>
      </x:c>
      <x:c r="B95" s="22" t="str">
        <x:v>Editar periodo</x:v>
      </x:c>
      <x:c r="C95" s="22" t="str">
        <x:v>Caja blanca</x:v>
      </x:c>
      <x:c r="D95" s="22" t="str">
        <x:v>HU09</x:v>
      </x:c>
      <x:c r="E95" s="22" t="str">
        <x:v>Valentina</x:v>
      </x:c>
      <x:c r="F95" s="22" t="str">
        <x:v>22-10-2026</x:v>
      </x:c>
      <x:c r="G95" s="22" t="str">
        <x:v>La actualización se realiza respetando restricciones de negocio.</x:v>
      </x:c>
      <x:c r="H95" s="22" t="str">
        <x:v>OK — suite metas: 11 pruebas aprobadas, 0 fallidas.</x:v>
      </x:c>
      <x:c r="I95" s="22" t="str">
        <x:v>metas/tests/test_periodo.py · test_editar_periodo · Revalidada en develop; suite general 210/210 OK (reporte Copilot).</x:v>
      </x:c>
      <x:c r="J95" s="22" t="str">
        <x:v>Aprobada</x:v>
      </x:c>
    </x:row>
    <x:row r="96" ht="43" customHeight="1">
      <x:c r="A96" s="26" t="str">
        <x:v>PU-PER-03</x:v>
      </x:c>
      <x:c r="B96" s="26" t="str">
        <x:v>Duplicado o invalido</x:v>
      </x:c>
      <x:c r="C96" s="26" t="str">
        <x:v>Caja blanca</x:v>
      </x:c>
      <x:c r="D96" s="26" t="str">
        <x:v>HU09</x:v>
      </x:c>
      <x:c r="E96" s="26" t="str">
        <x:v>Valentina</x:v>
      </x:c>
      <x:c r="F96" s="26" t="str">
        <x:v>22-10-2026</x:v>
      </x:c>
      <x:c r="G96" s="26" t="str">
        <x:v>Validación impide el dato duplicado, inválido o incompatible.</x:v>
      </x:c>
      <x:c r="H96" s="26" t="str">
        <x:v>OK — suite metas: 11 pruebas aprobadas, 0 fallidas.</x:v>
      </x:c>
      <x:c r="I96" s="26" t="str">
        <x:v>metas/tests/test_periodo.py · test_duplicado_o_invalido · Revalidada en develop; suite general 210/210 OK (reporte Copilot).</x:v>
      </x:c>
      <x:c r="J96" s="26" t="str">
        <x:v>Aprobada</x:v>
      </x:c>
    </x:row>
    <x:row r="97" ht="43" customHeight="1">
      <x:c r="A97" s="22" t="str">
        <x:v>PU-PER-04</x:v>
      </x:c>
      <x:c r="B97" s="22" t="str">
        <x:v>Desactivar periodo</x:v>
      </x:c>
      <x:c r="C97" s="22" t="str">
        <x:v>Caja blanca</x:v>
      </x:c>
      <x:c r="D97" s="22" t="str">
        <x:v>HU09</x:v>
      </x:c>
      <x:c r="E97" s="22" t="str">
        <x:v>Valentina</x:v>
      </x:c>
      <x:c r="F97" s="22" t="str">
        <x:v>22-10-2026</x:v>
      </x:c>
      <x:c r="G97" s="22" t="str">
        <x:v>La desactivación cambia el estado sin borrar físicamente.</x:v>
      </x:c>
      <x:c r="H97" s="22" t="str">
        <x:v>OK — suite metas: 11 pruebas aprobadas, 0 fallidas.</x:v>
      </x:c>
      <x:c r="I97" s="22" t="str">
        <x:v>metas/tests/test_periodo.py · test_desactivar_periodo · Revalidada en develop; suite general 210/210 OK (reporte Copilot).</x:v>
      </x:c>
      <x:c r="J97" s="22" t="str">
        <x:v>Aprobada</x:v>
      </x:c>
    </x:row>
    <x:row r="98" ht="43" customHeight="1">
      <x:c r="A98" s="26" t="str">
        <x:v>PU-PER-05</x:v>
      </x:c>
      <x:c r="B98" s="26" t="str">
        <x:v>Acceso denegado sin rol</x:v>
      </x:c>
      <x:c r="C98" s="26" t="str">
        <x:v>Caja blanca</x:v>
      </x:c>
      <x:c r="D98" s="26" t="str">
        <x:v>HU09</x:v>
      </x:c>
      <x:c r="E98" s="26" t="str">
        <x:v>Valentina</x:v>
      </x:c>
      <x:c r="F98" s="26" t="str">
        <x:v>22-10-2026</x:v>
      </x:c>
      <x:c r="G98" s="26" t="str">
        <x:v>Se impide la operación o acceso no autorizado.</x:v>
      </x:c>
      <x:c r="H98" s="26" t="str">
        <x:v>OK — suite metas: 11 pruebas aprobadas, 0 fallidas.</x:v>
      </x:c>
      <x:c r="I98" s="26" t="str">
        <x:v>metas/tests/test_periodo.py · test_acceso_denegado_sin_rol · Revalidada en develop; suite general 210/210 OK (reporte Copilot).</x:v>
      </x:c>
      <x:c r="J98" s="26" t="str">
        <x:v>Aprobada</x:v>
      </x:c>
    </x:row>
    <x:row r="99" ht="43" customHeight="1">
      <x:c r="A99" s="22" t="str">
        <x:v>PU-PER-06</x:v>
      </x:c>
      <x:c r="B99" s="22" t="str">
        <x:v>Acceso denegado a funcionario</x:v>
      </x:c>
      <x:c r="C99" s="22" t="str">
        <x:v>Caja blanca</x:v>
      </x:c>
      <x:c r="D99" s="22" t="str">
        <x:v>HU09</x:v>
      </x:c>
      <x:c r="E99" s="22" t="str">
        <x:v>Valentina</x:v>
      </x:c>
      <x:c r="F99" s="22" t="str">
        <x:v>22-10-2026</x:v>
      </x:c>
      <x:c r="G99" s="22" t="str">
        <x:v>Se impide la operación o acceso no autorizado.</x:v>
      </x:c>
      <x:c r="H99" s="22" t="str">
        <x:v>OK — suite metas: 11 pruebas aprobadas, 0 fallidas.</x:v>
      </x:c>
      <x:c r="I99" s="22" t="str">
        <x:v>metas/tests/test_periodo.py · test_acceso_denegado_a_funcionario · Revalidada en develop; suite general 210/210 OK (reporte Copilot).</x:v>
      </x:c>
      <x:c r="J99" s="22" t="str">
        <x:v>Aprobada</x:v>
      </x:c>
    </x:row>
    <x:row r="100" ht="43" customHeight="1">
      <x:c r="A100" s="26" t="str">
        <x:v>PU-ITE-01</x:v>
      </x:c>
      <x:c r="B100" s="26" t="str">
        <x:v>Crear item exitoso</x:v>
      </x:c>
      <x:c r="C100" s="26" t="str">
        <x:v>Caja blanca</x:v>
      </x:c>
      <x:c r="D100" s="26" t="str">
        <x:v>HU09, HU29</x:v>
      </x:c>
      <x:c r="E100" s="26" t="str">
        <x:v>Valentina</x:v>
      </x:c>
      <x:c r="F100" s="26" t="str">
        <x:v>22-10-2026</x:v>
      </x:c>
      <x:c r="G100" s="26" t="str">
        <x:v>El alta o flujo completo concluye con datos relacionados válidos.</x:v>
      </x:c>
      <x:c r="H100" s="26" t="str">
        <x:v>OK — suite metas: 11 pruebas aprobadas, 0 fallidas.</x:v>
      </x:c>
      <x:c r="I100" s="26" t="str">
        <x:v>metas/tests/test_item.py · test_crear_item_exitoso · Revalidada en develop; suite general 210/210 OK (reporte Copilot).</x:v>
      </x:c>
      <x:c r="J100" s="26" t="str">
        <x:v>Aprobada</x:v>
      </x:c>
    </x:row>
    <x:row r="101" ht="43" customHeight="1">
      <x:c r="A101" s="22" t="str">
        <x:v>PU-ITE-02</x:v>
      </x:c>
      <x:c r="B101" s="22" t="str">
        <x:v>Editar item</x:v>
      </x:c>
      <x:c r="C101" s="22" t="str">
        <x:v>Caja blanca</x:v>
      </x:c>
      <x:c r="D101" s="22" t="str">
        <x:v>HU09, HU29</x:v>
      </x:c>
      <x:c r="E101" s="22" t="str">
        <x:v>Valentina</x:v>
      </x:c>
      <x:c r="F101" s="22" t="str">
        <x:v>22-10-2026</x:v>
      </x:c>
      <x:c r="G101" s="22" t="str">
        <x:v>La actualización se realiza respetando restricciones de negocio.</x:v>
      </x:c>
      <x:c r="H101" s="22" t="str">
        <x:v>OK — suite metas: 11 pruebas aprobadas, 0 fallidas.</x:v>
      </x:c>
      <x:c r="I101" s="22" t="str">
        <x:v>metas/tests/test_item.py · test_editar_item · Revalidada en develop; suite general 210/210 OK (reporte Copilot).</x:v>
      </x:c>
      <x:c r="J101" s="22" t="str">
        <x:v>Aprobada</x:v>
      </x:c>
    </x:row>
    <x:row r="102" ht="43" customHeight="1">
      <x:c r="A102" s="26" t="str">
        <x:v>PU-ITE-03</x:v>
      </x:c>
      <x:c r="B102" s="26" t="str">
        <x:v>Duplicado o invalido</x:v>
      </x:c>
      <x:c r="C102" s="26" t="str">
        <x:v>Caja blanca</x:v>
      </x:c>
      <x:c r="D102" s="26" t="str">
        <x:v>HU09, HU29</x:v>
      </x:c>
      <x:c r="E102" s="26" t="str">
        <x:v>Valentina</x:v>
      </x:c>
      <x:c r="F102" s="26" t="str">
        <x:v>22-10-2026</x:v>
      </x:c>
      <x:c r="G102" s="26" t="str">
        <x:v>Validación impide el dato duplicado, inválido o incompatible.</x:v>
      </x:c>
      <x:c r="H102" s="26" t="str">
        <x:v>OK — suite metas: 11 pruebas aprobadas, 0 fallidas.</x:v>
      </x:c>
      <x:c r="I102" s="26" t="str">
        <x:v>metas/tests/test_item.py · test_duplicado_o_invalido · Revalidada en develop; suite general 210/210 OK (reporte Copilot).</x:v>
      </x:c>
      <x:c r="J102" s="26" t="str">
        <x:v>Aprobada</x:v>
      </x:c>
    </x:row>
    <x:row r="103" ht="43" customHeight="1">
      <x:c r="A103" s="22" t="str">
        <x:v>PU-ITE-04</x:v>
      </x:c>
      <x:c r="B103" s="22" t="str">
        <x:v>Desactivar item</x:v>
      </x:c>
      <x:c r="C103" s="22" t="str">
        <x:v>Caja blanca</x:v>
      </x:c>
      <x:c r="D103" s="22" t="str">
        <x:v>HU09, HU29</x:v>
      </x:c>
      <x:c r="E103" s="22" t="str">
        <x:v>Valentina</x:v>
      </x:c>
      <x:c r="F103" s="22" t="str">
        <x:v>22-10-2026</x:v>
      </x:c>
      <x:c r="G103" s="22" t="str">
        <x:v>La desactivación cambia el estado sin borrar físicamente.</x:v>
      </x:c>
      <x:c r="H103" s="22" t="str">
        <x:v>OK — suite metas: 11 pruebas aprobadas, 0 fallidas.</x:v>
      </x:c>
      <x:c r="I103" s="22" t="str">
        <x:v>metas/tests/test_item.py · test_desactivar_item · Revalidada en develop; suite general 210/210 OK (reporte Copilot).</x:v>
      </x:c>
      <x:c r="J103" s="22" t="str">
        <x:v>Aprobada</x:v>
      </x:c>
    </x:row>
    <x:row r="104" ht="43" customHeight="1">
      <x:c r="A104" s="26" t="str">
        <x:v>PU-ITE-05</x:v>
      </x:c>
      <x:c r="B104" s="26" t="str">
        <x:v>Acceso denegado a funcionario</x:v>
      </x:c>
      <x:c r="C104" s="26" t="str">
        <x:v>Caja blanca</x:v>
      </x:c>
      <x:c r="D104" s="26" t="str">
        <x:v>HU09, HU29</x:v>
      </x:c>
      <x:c r="E104" s="26" t="str">
        <x:v>Valentina</x:v>
      </x:c>
      <x:c r="F104" s="26" t="str">
        <x:v>22-10-2026</x:v>
      </x:c>
      <x:c r="G104" s="26" t="str">
        <x:v>Se impide la operación o acceso no autorizado.</x:v>
      </x:c>
      <x:c r="H104" s="26" t="str">
        <x:v>OK — suite metas: 11 pruebas aprobadas, 0 fallidas.</x:v>
      </x:c>
      <x:c r="I104" s="26" t="str">
        <x:v>metas/tests/test_item.py · test_acceso_denegado_a_funcionario · Revalidada en develop; suite general 210/210 OK (reporte Copilot).</x:v>
      </x:c>
      <x:c r="J104" s="26" t="str">
        <x:v>Aprobada</x:v>
      </x:c>
    </x:row>
    <x:row r="105" ht="43" customHeight="1">
      <x:c r="A105" s="22" t="str">
        <x:v>INT-ORG-01</x:v>
      </x:c>
      <x:c r="B105" s="22" t="str">
        <x:v>Flujo completo delegacion area cargo</x:v>
      </x:c>
      <x:c r="C105" s="22" t="str">
        <x:v>Caja negra</x:v>
      </x:c>
      <x:c r="D105" s="22" t="str">
        <x:v>HU17, HU19</x:v>
      </x:c>
      <x:c r="E105" s="22" t="str">
        <x:v>Brian</x:v>
      </x:c>
      <x:c r="F105" s="22" t="str">
        <x:v>22-10-2026</x:v>
      </x:c>
      <x:c r="G105" s="22" t="str">
        <x:v>El alta o flujo completo concluye con datos relacionados válidos.</x:v>
      </x:c>
      <x:c r="H105" s="22" t="str">
        <x:v>OK — suite organizacion: 127 pruebas aprobadas, 0 fallidas.</x:v>
      </x:c>
      <x:c r="I105" s="22" t="str">
        <x:v>organizacion/tests/test_integracion.py · test_flujo_completo_delegacion_area_cargo · Revalidada en develop; suite general 210/210 OK (reporte Copilot).</x:v>
      </x:c>
      <x:c r="J105" s="22" t="str">
        <x:v>Aprobada</x:v>
      </x:c>
    </x:row>
    <x:row r="106" ht="43" customHeight="1">
      <x:c r="A106" s="26" t="str">
        <x:v>INT-ORG-02</x:v>
      </x:c>
      <x:c r="B106" s="26" t="str">
        <x:v>Desactivar en cadena no borra nada</x:v>
      </x:c>
      <x:c r="C106" s="26" t="str">
        <x:v>Caja negra</x:v>
      </x:c>
      <x:c r="D106" s="26" t="str">
        <x:v>HU17, HU19</x:v>
      </x:c>
      <x:c r="E106" s="26" t="str">
        <x:v>Brian</x:v>
      </x:c>
      <x:c r="F106" s="26" t="str">
        <x:v>22-10-2026</x:v>
      </x:c>
      <x:c r="G106" s="26" t="str">
        <x:v>La desactivación cambia el estado sin borrar físicamente.</x:v>
      </x:c>
      <x:c r="H106" s="26" t="str">
        <x:v>OK — suite organizacion: 127 pruebas aprobadas, 0 fallidas.</x:v>
      </x:c>
      <x:c r="I106" s="26" t="str">
        <x:v>organizacion/tests/test_integracion.py · test_desactivar_en_cadena_no_borra_nada · Revalidada en develop; suite general 210/210 OK (reporte Copilot).</x:v>
      </x:c>
      <x:c r="J106" s="26" t="str">
        <x:v>Aprobada</x:v>
      </x:c>
    </x:row>
    <x:row r="107" ht="43" customHeight="1">
      <x:c r="A107" s="22" t="str">
        <x:v>INT-ORG-03</x:v>
      </x:c>
      <x:c r="B107" s="22" t="str">
        <x:v>No se puede borrar fisicamente con dependientes</x:v>
      </x:c>
      <x:c r="C107" s="22" t="str">
        <x:v>Caja negra</x:v>
      </x:c>
      <x:c r="D107" s="22" t="str">
        <x:v>HU17, HU19</x:v>
      </x:c>
      <x:c r="E107" s="22" t="str">
        <x:v>Brian</x:v>
      </x:c>
      <x:c r="F107" s="22" t="str">
        <x:v>22-10-2026</x:v>
      </x:c>
      <x:c r="G107" s="22" t="str">
        <x:v>Se verifica el escenario y las aserciones definidas en el test.</x:v>
      </x:c>
      <x:c r="H107" s="22" t="str">
        <x:v>OK — suite organizacion: 127 pruebas aprobadas, 0 fallidas.</x:v>
      </x:c>
      <x:c r="I107" s="22" t="str">
        <x:v>organizacion/tests/test_integracion.py · test_no_se_puede_borrar_fisicamente_con_dependientes · Revalidada en develop; suite general 210/210 OK (reporte Copilot).</x:v>
      </x:c>
      <x:c r="J107" s="22" t="str">
        <x:v>Aprobada</x:v>
      </x:c>
    </x:row>
    <x:row r="108" ht="43" customHeight="1">
      <x:c r="A108" s="26" t="str">
        <x:v>INT-ORG-04</x:v>
      </x:c>
      <x:c r="B108" s="26" t="str">
        <x:v>Auditoria del flujo</x:v>
      </x:c>
      <x:c r="C108" s="26" t="str">
        <x:v>Caja negra</x:v>
      </x:c>
      <x:c r="D108" s="26" t="str">
        <x:v>HU17, HU19</x:v>
      </x:c>
      <x:c r="E108" s="26" t="str">
        <x:v>Brian</x:v>
      </x:c>
      <x:c r="F108" s="26" t="str">
        <x:v>22-10-2026</x:v>
      </x:c>
      <x:c r="G108" s="26" t="str">
        <x:v>Los cambios quedan registrados en auditoría.</x:v>
      </x:c>
      <x:c r="H108" s="26" t="str">
        <x:v>OK — suite organizacion: 127 pruebas aprobadas, 0 fallidas.</x:v>
      </x:c>
      <x:c r="I108" s="26" t="str">
        <x:v>organizacion/tests/test_integracion.py · test_auditoria_del_flujo · Revalidada en develop; suite general 210/210 OK (reporte Copilot).</x:v>
      </x:c>
      <x:c r="J108" s="26" t="str">
        <x:v>Aprobada</x:v>
      </x:c>
    </x:row>
    <x:row r="109" ht="43" customHeight="1">
      <x:c r="A109" s="22" t="str">
        <x:v>INT-ORG-05</x:v>
      </x:c>
      <x:c r="B109" s="22" t="str">
        <x:v>Delegaciones independientes</x:v>
      </x:c>
      <x:c r="C109" s="22" t="str">
        <x:v>Caja negra</x:v>
      </x:c>
      <x:c r="D109" s="22" t="str">
        <x:v>HU17, HU19</x:v>
      </x:c>
      <x:c r="E109" s="22" t="str">
        <x:v>Brian</x:v>
      </x:c>
      <x:c r="F109" s="22" t="str">
        <x:v>22-10-2026</x:v>
      </x:c>
      <x:c r="G109" s="22" t="str">
        <x:v>Se verifica el escenario y las aserciones definidas en el test.</x:v>
      </x:c>
      <x:c r="H109" s="22" t="str">
        <x:v>OK — suite organizacion: 127 pruebas aprobadas, 0 fallidas.</x:v>
      </x:c>
      <x:c r="I109" s="22" t="str">
        <x:v>organizacion/tests/test_integracion.py · test_delegaciones_independientes · Revalidada en develop; suite general 210/210 OK (reporte Copilot).</x:v>
      </x:c>
      <x:c r="J109" s="22" t="str">
        <x:v>Aprobada</x:v>
      </x:c>
    </x:row>
    <x:row r="110" ht="43" customHeight="1">
      <x:c r="A110" s="26" t="str">
        <x:v>INT-ORG-06</x:v>
      </x:c>
      <x:c r="B110" s="26" t="str">
        <x:v>Cargo transversal no aparece al filtrar por area</x:v>
      </x:c>
      <x:c r="C110" s="26" t="str">
        <x:v>Caja negra</x:v>
      </x:c>
      <x:c r="D110" s="26" t="str">
        <x:v>HU17, HU19</x:v>
      </x:c>
      <x:c r="E110" s="26" t="str">
        <x:v>Brian</x:v>
      </x:c>
      <x:c r="F110" s="26" t="str">
        <x:v>22-10-2026</x:v>
      </x:c>
      <x:c r="G110" s="26" t="str">
        <x:v>Se verifica el escenario y las aserciones definidas en el test.</x:v>
      </x:c>
      <x:c r="H110" s="26" t="str">
        <x:v>OK — suite organizacion: 127 pruebas aprobadas, 0 fallidas.</x:v>
      </x:c>
      <x:c r="I110" s="26" t="str">
        <x:v>organizacion/tests/test_integracion.py · test_cargo_transversal_no_aparece_al_filtrar_por_area · Revalidada en develop; suite general 210/210 OK (reporte Copilot).</x:v>
      </x:c>
      <x:c r="J110" s="26" t="str">
        <x:v>Aprobada</x:v>
      </x:c>
    </x:row>
    <x:row r="111" ht="43" customHeight="1">
      <x:c r="A111" s="22" t="str">
        <x:v>INT-ORG-07</x:v>
      </x:c>
      <x:c r="B111" s="22" t="str">
        <x:v>Doble envio no duplica</x:v>
      </x:c>
      <x:c r="C111" s="22" t="str">
        <x:v>Caja negra</x:v>
      </x:c>
      <x:c r="D111" s="22" t="str">
        <x:v>HU17, HU19</x:v>
      </x:c>
      <x:c r="E111" s="22" t="str">
        <x:v>Brian</x:v>
      </x:c>
      <x:c r="F111" s="22" t="str">
        <x:v>22-10-2026</x:v>
      </x:c>
      <x:c r="G111" s="22" t="str">
        <x:v>Se verifica el escenario y las aserciones definidas en el test.</x:v>
      </x:c>
      <x:c r="H111" s="22" t="str">
        <x:v>OK — suite organizacion: 127 pruebas aprobadas, 0 fallidas.</x:v>
      </x:c>
      <x:c r="I111" s="22" t="str">
        <x:v>organizacion/tests/test_integracion.py · test_doble_envio_no_duplica · Revalidada en develop; suite general 210/210 OK (reporte Copilot).</x:v>
      </x:c>
      <x:c r="J111" s="22" t="str">
        <x:v>Aprobada</x:v>
      </x:c>
    </x:row>
    <x:row r="112" ht="43" customHeight="1">
      <x:c r="A112" s="26" t="str">
        <x:v>INT-ORG-08</x:v>
      </x:c>
      <x:c r="B112" s="26" t="str">
        <x:v>Reactivar delegacion</x:v>
      </x:c>
      <x:c r="C112" s="26" t="str">
        <x:v>Caja negra</x:v>
      </x:c>
      <x:c r="D112" s="26" t="str">
        <x:v>HU17, HU19</x:v>
      </x:c>
      <x:c r="E112" s="26" t="str">
        <x:v>Brian</x:v>
      </x:c>
      <x:c r="F112" s="26" t="str">
        <x:v>22-10-2026</x:v>
      </x:c>
      <x:c r="G112" s="26" t="str">
        <x:v>Se verifica el escenario y las aserciones definidas en el test.</x:v>
      </x:c>
      <x:c r="H112" s="26" t="str">
        <x:v>OK — suite organizacion: 127 pruebas aprobadas, 0 fallidas.</x:v>
      </x:c>
      <x:c r="I112" s="26" t="str">
        <x:v>organizacion/tests/test_integracion.py · test_reactivar_delegacion · Revalidada en develop; suite general 210/210 OK (reporte Copilot).</x:v>
      </x:c>
      <x:c r="J112" s="26" t="str">
        <x:v>Aprobada</x:v>
      </x:c>
    </x:row>
    <x:row r="113" ht="43" customHeight="1">
      <x:c r="A113" s="22" t="str">
        <x:v>INT-ORG-09</x:v>
      </x:c>
      <x:c r="B113" s="22" t="str">
        <x:v>Delegacion cargo funcionario usuario</x:v>
      </x:c>
      <x:c r="C113" s="22" t="str">
        <x:v>Caja negra</x:v>
      </x:c>
      <x:c r="D113" s="22" t="str">
        <x:v>HU17, HU19</x:v>
      </x:c>
      <x:c r="E113" s="22" t="str">
        <x:v>Brian</x:v>
      </x:c>
      <x:c r="F113" s="22" t="str">
        <x:v>22-10-2026</x:v>
      </x:c>
      <x:c r="G113" s="22" t="str">
        <x:v>Se verifica el escenario y las aserciones definidas en el test.</x:v>
      </x:c>
      <x:c r="H113" s="22" t="str">
        <x:v>OK — suite organizacion: 127 pruebas aprobadas, 0 fallidas.</x:v>
      </x:c>
      <x:c r="I113" s="22" t="str">
        <x:v>organizacion/tests/test_integracion.py · test_delegacion_cargo_funcionario_usuario · Revalidada en develop; suite general 210/210 OK (reporte Copilot).</x:v>
      </x:c>
      <x:c r="J113" s="22" t="str">
        <x:v>Aprobada</x:v>
      </x:c>
    </x:row>
    <x:row r="114" ht="43" customHeight="1">
      <x:c r="A114" s="26" t="str">
        <x:v>INT-ORG-10</x:v>
      </x:c>
      <x:c r="B114" s="26" t="str">
        <x:v>Funcionario no puede ninguna operacion</x:v>
      </x:c>
      <x:c r="C114" s="26" t="str">
        <x:v>Caja negra</x:v>
      </x:c>
      <x:c r="D114" s="26" t="str">
        <x:v>HU17, HU19</x:v>
      </x:c>
      <x:c r="E114" s="26" t="str">
        <x:v>Brian</x:v>
      </x:c>
      <x:c r="F114" s="26" t="str">
        <x:v>22-10-2026</x:v>
      </x:c>
      <x:c r="G114" s="26" t="str">
        <x:v>Se impide la operación o acceso no autorizado.</x:v>
      </x:c>
      <x:c r="H114" s="26" t="str">
        <x:v>OK — suite organizacion: 127 pruebas aprobadas, 0 fallidas.</x:v>
      </x:c>
      <x:c r="I114" s="26" t="str">
        <x:v>organizacion/tests/test_integracion.py · test_funcionario_no_puede_ninguna_operacion · Revalidada en develop; suite general 210/210 OK (reporte Copilot).</x:v>
      </x:c>
      <x:c r="J114" s="26" t="str">
        <x:v>Aprobada</x:v>
      </x:c>
    </x:row>
    <x:row r="115" ht="43" customHeight="1">
      <x:c r="A115" s="22" t="str">
        <x:v>INT-ORG-11</x:v>
      </x:c>
      <x:c r="B115" s="22" t="str">
        <x:v>Sin sesion denegado</x:v>
      </x:c>
      <x:c r="C115" s="22" t="str">
        <x:v>Caja negra</x:v>
      </x:c>
      <x:c r="D115" s="22" t="str">
        <x:v>HU17, HU19</x:v>
      </x:c>
      <x:c r="E115" s="22" t="str">
        <x:v>Brian</x:v>
      </x:c>
      <x:c r="F115" s="22" t="str">
        <x:v>22-10-2026</x:v>
      </x:c>
      <x:c r="G115" s="22" t="str">
        <x:v>Se impide la operación o acceso no autorizado.</x:v>
      </x:c>
      <x:c r="H115" s="22" t="str">
        <x:v>OK — suite organizacion: 127 pruebas aprobadas, 0 fallidas.</x:v>
      </x:c>
      <x:c r="I115" s="22" t="str">
        <x:v>organizacion/tests/test_integracion.py · test_sin_sesion_denegado · Revalidada en develop; suite general 210/210 OK (reporte Copilot).</x:v>
      </x:c>
      <x:c r="J115" s="22" t="str">
        <x:v>Aprobada</x:v>
      </x:c>
    </x:row>
    <x:row r="116" ht="43" customHeight="1">
      <x:c r="A116" s="26" t="str">
        <x:v>INT-ORG-12</x:v>
      </x:c>
      <x:c r="B116" s="26" t="str">
        <x:v>Inicio de sesión real admin y funcionario</x:v>
      </x:c>
      <x:c r="C116" s="26" t="str">
        <x:v>Caja negra</x:v>
      </x:c>
      <x:c r="D116" s="26" t="str">
        <x:v>HU17, HU19</x:v>
      </x:c>
      <x:c r="E116" s="26" t="str">
        <x:v>Brian</x:v>
      </x:c>
      <x:c r="F116" s="26" t="str">
        <x:v>22-10-2026</x:v>
      </x:c>
      <x:c r="G116" s="26" t="str">
        <x:v>La autenticación acepta credenciales válidas y rechaza inválidas.</x:v>
      </x:c>
      <x:c r="H116" s="26" t="str">
        <x:v>OK — suite organizacion: 127 pruebas aprobadas, 0 fallidas.</x:v>
      </x:c>
      <x:c r="I116" s="26" t="str">
        <x:v>organizacion/tests/test_integracion.py · test_login_real_admin_y_funcionario · Revalidada en develop; suite general 210/210 OK (reporte Copilot).</x:v>
      </x:c>
      <x:c r="J116" s="26" t="str">
        <x:v>Aprobada</x:v>
      </x:c>
    </x:row>
    <x:row r="117" ht="43" customHeight="1">
      <x:c r="A117" s="22" t="str">
        <x:v>INT-ORG-13</x:v>
      </x:c>
      <x:c r="B117" s="22" t="str">
        <x:v>Usuario inactivo pierde acceso</x:v>
      </x:c>
      <x:c r="C117" s="22" t="str">
        <x:v>Caja negra</x:v>
      </x:c>
      <x:c r="D117" s="22" t="str">
        <x:v>HU17, HU19</x:v>
      </x:c>
      <x:c r="E117" s="22" t="str">
        <x:v>Brian</x:v>
      </x:c>
      <x:c r="F117" s="22" t="str">
        <x:v>22-10-2026</x:v>
      </x:c>
      <x:c r="G117" s="22" t="str">
        <x:v>Se verifica el escenario y las aserciones definidas en el test.</x:v>
      </x:c>
      <x:c r="H117" s="22" t="str">
        <x:v>OK — suite organizacion: 127 pruebas aprobadas, 0 fallidas.</x:v>
      </x:c>
      <x:c r="I117" s="22" t="str">
        <x:v>organizacion/tests/test_integracion.py · test_usuario_inactivo_pierde_acceso · Revalidada en develop; suite general 210/210 OK (reporte Copilot).</x:v>
      </x:c>
      <x:c r="J117" s="22" t="str">
        <x:v>Aprobada</x:v>
      </x:c>
    </x:row>
    <x:row r="118" ht="43" customHeight="1">
      <x:c r="A118" s="26" t="str">
        <x:v>INT-ORG-14</x:v>
      </x:c>
      <x:c r="B118" s="26" t="str">
        <x:v>Entradas hostiles se tratan como datos</x:v>
      </x:c>
      <x:c r="C118" s="26" t="str">
        <x:v>Caja negra</x:v>
      </x:c>
      <x:c r="D118" s="26" t="str">
        <x:v>HU17, HU19</x:v>
      </x:c>
      <x:c r="E118" s="26" t="str">
        <x:v>Brian</x:v>
      </x:c>
      <x:c r="F118" s="26" t="str">
        <x:v>22-10-2026</x:v>
      </x:c>
      <x:c r="G118" s="26" t="str">
        <x:v>Se verifica el escenario y las aserciones definidas en el test.</x:v>
      </x:c>
      <x:c r="H118" s="26" t="str">
        <x:v>OK — suite organizacion: 127 pruebas aprobadas, 0 fallidas.</x:v>
      </x:c>
      <x:c r="I118" s="26" t="str">
        <x:v>organizacion/tests/test_integracion.py · test_entradas_hostiles_se_tratan_como_datos · Revalidada en develop; suite general 210/210 OK (reporte Copilot).</x:v>
      </x:c>
      <x:c r="J118" s="26" t="str">
        <x:v>Aprobada</x:v>
      </x:c>
    </x:row>
    <x:row r="119" ht="43" customHeight="1">
      <x:c r="A119" s="22" t="str">
        <x:v>PU-MDE-01</x:v>
      </x:c>
      <x:c r="B119" s="22" t="str">
        <x:v>Crear meta delegación</x:v>
      </x:c>
      <x:c r="C119" s="22" t="str">
        <x:v>Caja blanca</x:v>
      </x:c>
      <x:c r="D119" s="22" t="str">
        <x:v>Por confirmar</x:v>
      </x:c>
      <x:c r="E119" s="22" t="str">
        <x:v>Fernando</x:v>
      </x:c>
      <x:c r="F119" s="22"/>
      <x:c r="G119" s="22" t="str">
        <x:v>Crear un registro válido.</x:v>
      </x:c>
      <x:c r="H119" s="22" t="str">
        <x:v>No existe aún archivo de prueba</x:v>
      </x:c>
      <x:c r="I119" s="22" t="str">
        <x:v>Pendiente de implementar por Fernando (según guía de Patricio, 22-10-2026).</x:v>
      </x:c>
      <x:c r="J119" s="22" t="str">
        <x:v>Pendiente</x:v>
      </x:c>
    </x:row>
    <x:row r="120" ht="43" customHeight="1">
      <x:c r="A120" s="26" t="str">
        <x:v>PU-MDE-02</x:v>
      </x:c>
      <x:c r="B120" s="26" t="str">
        <x:v>Editar meta delegación</x:v>
      </x:c>
      <x:c r="C120" s="26" t="str">
        <x:v>Caja blanca</x:v>
      </x:c>
      <x:c r="D120" s="26" t="str">
        <x:v>Por confirmar</x:v>
      </x:c>
      <x:c r="E120" s="26" t="str">
        <x:v>Fernando</x:v>
      </x:c>
      <x:c r="F120" s="26"/>
      <x:c r="G120" s="26" t="str">
        <x:v>Editar el registro sin perder relaciones.</x:v>
      </x:c>
      <x:c r="H120" s="26" t="str">
        <x:v>No existe aún archivo de prueba</x:v>
      </x:c>
      <x:c r="I120" s="26" t="str">
        <x:v>Pendiente de implementar por Fernando (según guía de Patricio, 22-10-2026).</x:v>
      </x:c>
      <x:c r="J120" s="26" t="str">
        <x:v>Pendiente</x:v>
      </x:c>
    </x:row>
    <x:row r="121" ht="43" customHeight="1">
      <x:c r="A121" s="22" t="str">
        <x:v>PU-MDE-03</x:v>
      </x:c>
      <x:c r="B121" s="22" t="str">
        <x:v>Dato duplicado o inválido meta delegación</x:v>
      </x:c>
      <x:c r="C121" s="22" t="str">
        <x:v>Caja blanca</x:v>
      </x:c>
      <x:c r="D121" s="22" t="str">
        <x:v>Por confirmar</x:v>
      </x:c>
      <x:c r="E121" s="22" t="str">
        <x:v>Fernando</x:v>
      </x:c>
      <x:c r="F121" s="22"/>
      <x:c r="G121" s="22" t="str">
        <x:v>Rechazar registros duplicados o inválidos.</x:v>
      </x:c>
      <x:c r="H121" s="22" t="str">
        <x:v>No existe aún archivo de prueba</x:v>
      </x:c>
      <x:c r="I121" s="22" t="str">
        <x:v>Pendiente de implementar por Fernando (según guía de Patricio, 22-10-2026).</x:v>
      </x:c>
      <x:c r="J121" s="22" t="str">
        <x:v>Pendiente</x:v>
      </x:c>
    </x:row>
    <x:row r="122" ht="43" customHeight="1">
      <x:c r="A122" s="26" t="str">
        <x:v>PU-MDE-04</x:v>
      </x:c>
      <x:c r="B122" s="26" t="str">
        <x:v>Desactivar meta delegación</x:v>
      </x:c>
      <x:c r="C122" s="26" t="str">
        <x:v>Caja blanca</x:v>
      </x:c>
      <x:c r="D122" s="26" t="str">
        <x:v>Por confirmar</x:v>
      </x:c>
      <x:c r="E122" s="26" t="str">
        <x:v>Fernando</x:v>
      </x:c>
      <x:c r="F122" s="26"/>
      <x:c r="G122" s="26" t="str">
        <x:v>Mantener baja lógica sin borrar registro.</x:v>
      </x:c>
      <x:c r="H122" s="26" t="str">
        <x:v>No existe aún archivo de prueba</x:v>
      </x:c>
      <x:c r="I122" s="26" t="str">
        <x:v>Pendiente de implementar por Fernando (según guía de Patricio, 22-10-2026).</x:v>
      </x:c>
      <x:c r="J122" s="26" t="str">
        <x:v>Pendiente</x:v>
      </x:c>
    </x:row>
    <x:row r="123" ht="43" customHeight="1">
      <x:c r="A123" s="22" t="str">
        <x:v>PU-MDE-05</x:v>
      </x:c>
      <x:c r="B123" s="22" t="str">
        <x:v>Acceso denegado meta delegación</x:v>
      </x:c>
      <x:c r="C123" s="22" t="str">
        <x:v>Caja blanca</x:v>
      </x:c>
      <x:c r="D123" s="22" t="str">
        <x:v>Por confirmar</x:v>
      </x:c>
      <x:c r="E123" s="22" t="str">
        <x:v>Fernando</x:v>
      </x:c>
      <x:c r="F123" s="22"/>
      <x:c r="G123" s="22" t="str">
        <x:v>Restringir acceso a perfiles sin autorización.</x:v>
      </x:c>
      <x:c r="H123" s="22" t="str">
        <x:v>No existe aún archivo de prueba</x:v>
      </x:c>
      <x:c r="I123" s="22" t="str">
        <x:v>Pendiente de implementar por Fernando (según guía de Patricio, 22-10-2026).</x:v>
      </x:c>
      <x:c r="J123" s="22" t="str">
        <x:v>Pendiente</x:v>
      </x:c>
    </x:row>
    <x:row r="124" ht="43" customHeight="1">
      <x:c r="A124" s="26" t="str">
        <x:v>PU-MET-01</x:v>
      </x:c>
      <x:c r="B124" s="26" t="str">
        <x:v>Crear meta</x:v>
      </x:c>
      <x:c r="C124" s="26" t="str">
        <x:v>Caja blanca</x:v>
      </x:c>
      <x:c r="D124" s="26" t="str">
        <x:v>Por confirmar</x:v>
      </x:c>
      <x:c r="E124" s="26" t="str">
        <x:v>Fernando</x:v>
      </x:c>
      <x:c r="F124" s="26"/>
      <x:c r="G124" s="26" t="str">
        <x:v>Crear un registro válido.</x:v>
      </x:c>
      <x:c r="H124" s="26" t="str">
        <x:v>No existe aún archivo de prueba</x:v>
      </x:c>
      <x:c r="I124" s="26" t="str">
        <x:v>Pendiente de implementar por Fernando (según guía de Patricio, 22-10-2026).</x:v>
      </x:c>
      <x:c r="J124" s="26" t="str">
        <x:v>Pendiente</x:v>
      </x:c>
    </x:row>
    <x:row r="125" ht="43" customHeight="1">
      <x:c r="A125" s="22" t="str">
        <x:v>PU-MET-02</x:v>
      </x:c>
      <x:c r="B125" s="22" t="str">
        <x:v>Editar meta</x:v>
      </x:c>
      <x:c r="C125" s="22" t="str">
        <x:v>Caja blanca</x:v>
      </x:c>
      <x:c r="D125" s="22" t="str">
        <x:v>Por confirmar</x:v>
      </x:c>
      <x:c r="E125" s="22" t="str">
        <x:v>Fernando</x:v>
      </x:c>
      <x:c r="F125" s="22"/>
      <x:c r="G125" s="22" t="str">
        <x:v>Editar el registro sin perder relaciones.</x:v>
      </x:c>
      <x:c r="H125" s="22" t="str">
        <x:v>No existe aún archivo de prueba</x:v>
      </x:c>
      <x:c r="I125" s="22" t="str">
        <x:v>Pendiente de implementar por Fernando (según guía de Patricio, 22-10-2026).</x:v>
      </x:c>
      <x:c r="J125" s="22" t="str">
        <x:v>Pendiente</x:v>
      </x:c>
    </x:row>
    <x:row r="126" ht="43" customHeight="1">
      <x:c r="A126" s="26" t="str">
        <x:v>PU-MET-03</x:v>
      </x:c>
      <x:c r="B126" s="26" t="str">
        <x:v>Dato duplicado o inválido meta</x:v>
      </x:c>
      <x:c r="C126" s="26" t="str">
        <x:v>Caja blanca</x:v>
      </x:c>
      <x:c r="D126" s="26" t="str">
        <x:v>Por confirmar</x:v>
      </x:c>
      <x:c r="E126" s="26" t="str">
        <x:v>Fernando</x:v>
      </x:c>
      <x:c r="F126" s="26"/>
      <x:c r="G126" s="26" t="str">
        <x:v>Rechazar registros duplicados o inválidos.</x:v>
      </x:c>
      <x:c r="H126" s="26" t="str">
        <x:v>No existe aún archivo de prueba</x:v>
      </x:c>
      <x:c r="I126" s="26" t="str">
        <x:v>Pendiente de implementar por Fernando (según guía de Patricio, 22-10-2026).</x:v>
      </x:c>
      <x:c r="J126" s="26" t="str">
        <x:v>Pendiente</x:v>
      </x:c>
    </x:row>
    <x:row r="127" ht="43" customHeight="1">
      <x:c r="A127" s="22" t="str">
        <x:v>PU-MET-04</x:v>
      </x:c>
      <x:c r="B127" s="22" t="str">
        <x:v>Desactivar meta</x:v>
      </x:c>
      <x:c r="C127" s="22" t="str">
        <x:v>Caja blanca</x:v>
      </x:c>
      <x:c r="D127" s="22" t="str">
        <x:v>Por confirmar</x:v>
      </x:c>
      <x:c r="E127" s="22" t="str">
        <x:v>Fernando</x:v>
      </x:c>
      <x:c r="F127" s="22"/>
      <x:c r="G127" s="22" t="str">
        <x:v>Mantener baja lógica sin borrar registro.</x:v>
      </x:c>
      <x:c r="H127" s="22" t="str">
        <x:v>No existe aún archivo de prueba</x:v>
      </x:c>
      <x:c r="I127" s="22" t="str">
        <x:v>Pendiente de implementar por Fernando (según guía de Patricio, 22-10-2026).</x:v>
      </x:c>
      <x:c r="J127" s="22" t="str">
        <x:v>Pendiente</x:v>
      </x:c>
    </x:row>
    <x:row r="128" ht="43" customHeight="1">
      <x:c r="A128" s="26" t="str">
        <x:v>PU-MET-05</x:v>
      </x:c>
      <x:c r="B128" s="26" t="str">
        <x:v>Acceso denegado meta</x:v>
      </x:c>
      <x:c r="C128" s="26" t="str">
        <x:v>Caja blanca</x:v>
      </x:c>
      <x:c r="D128" s="26" t="str">
        <x:v>Por confirmar</x:v>
      </x:c>
      <x:c r="E128" s="26" t="str">
        <x:v>Fernando</x:v>
      </x:c>
      <x:c r="F128" s="26"/>
      <x:c r="G128" s="26" t="str">
        <x:v>Restringir acceso a perfiles sin autorización.</x:v>
      </x:c>
      <x:c r="H128" s="26" t="str">
        <x:v>No existe aún archivo de prueba</x:v>
      </x:c>
      <x:c r="I128" s="26" t="str">
        <x:v>Pendiente de implementar por Fernando (según guía de Patricio, 22-10-2026).</x:v>
      </x:c>
      <x:c r="J128" s="26" t="str">
        <x:v>Pendiente</x:v>
      </x:c>
    </x:row>
  </x:sheetData>
  <x:mergeCells>
    <x:mergeCell ref="A1:J2"/>
    <x:mergeCell ref="A3:J3"/>
  </x:mergeCells>
  <x:conditionalFormatting sqref="J6:J128">
    <x:cfRule type="expression" dxfId="0" priority="1">
      <x:formula>J6="Aprobada"</x:formula>
    </x:cfRule>
    <x:cfRule type="expression" dxfId="1" priority="2">
      <x:formula>J6="Por validar"</x:formula>
    </x:cfRule>
    <x:cfRule type="expression" dxfId="2" priority="3">
      <x:formula>J6="Pendiente"</x:formula>
    </x:cfRule>
    <x:cfRule type="expression" dxfId="3" priority="4">
      <x:formula>J6="Rechazada"</x:formula>
    </x:cfRule>
  </x:conditionalFormatting>
  <x:dataValidations count="1">
    <x:dataValidation type="list" sqref="J6:J128">
      <x:formula1>"Aprobada,Por validar,Pendiente,Rechazada"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38aee6dde72407d"/>
  </x:tableParts>
</x:worksheet>
</file>

<file path=xl/worksheets/sheet2.xml><?xml version="1.0" encoding="utf-8"?>
<x:worksheet xmlns:x="http://schemas.openxmlformats.org/spreadsheetml/2006/main">
  <x:sheetViews>
    <x:sheetView workbookViewId="0">
      <x:pane ySplit="9" topLeftCell="A10" activePane="bottomLeft" state="frozen"/>
    </x:sheetView>
  </x:sheetViews>
  <x:sheetFormatPr defaultRowHeight="15"/>
  <x:cols>
    <x:col min="1" max="1" width="27" hidden="0" customWidth="1"/>
    <x:col min="2" max="2" width="21" hidden="0" customWidth="1"/>
    <x:col min="3" max="3" width="33" hidden="0" customWidth="1"/>
    <x:col min="4" max="4" width="21" hidden="0" customWidth="1"/>
    <x:col min="5" max="5" width="27" hidden="0" customWidth="1"/>
    <x:col min="6" max="6" width="16" hidden="0" customWidth="1"/>
    <x:col min="7" max="7" width="27" hidden="0" customWidth="1"/>
    <x:col min="8" max="8" width="17" hidden="0" customWidth="1"/>
  </x:cols>
  <x:sheetData>
    <x:row r="1" ht="36" customHeight="1">
      <x:c r="A1" s="58" t="str">
        <x:v>SCRUM-57 · Control de cobertura</x:v>
      </x:c>
      <x:c r="B1" s="58"/>
      <x:c r="C1" s="58"/>
      <x:c r="D1" s="58"/>
      <x:c r="E1" s="58"/>
      <x:c r="F1" s="58"/>
      <x:c r="G1" s="58"/>
      <x:c r="H1" s="30"/>
    </x:row>
    <x:row r="2" ht="24" customHeight="1">
      <x:c r="A2" s="30"/>
      <x:c r="B2" s="30"/>
      <x:c r="C2" s="30"/>
      <x:c r="D2" s="30"/>
      <x:c r="E2" s="30"/>
      <x:c r="F2" s="30"/>
      <x:c r="G2" s="30"/>
      <x:c r="H2" s="30"/>
    </x:row>
    <x:row r="3" ht="28" customHeight="1">
      <x:c r="A3" s="73" t="str">
        <x:v>Resultados reportados el 22-10-2026 desde develop: 210 pruebas OK. El inventario documenta 113 casos automatizados y 10 casos todavía no implementados.</x:v>
      </x:c>
      <x:c r="B3" s="73"/>
      <x:c r="C3" s="73"/>
      <x:c r="D3" s="73"/>
      <x:c r="E3" s="73"/>
      <x:c r="F3" s="73"/>
      <x:c r="G3" s="73"/>
      <x:c r="H3" s="32"/>
    </x:row>
    <x:row r="5" ht="44" customHeight="1">
      <x:c r="A5" s="76" t="str">
        <x:v>Total de casos</x:v>
      </x:c>
      <x:c r="B5" s="76"/>
      <x:c r="C5" s="76" t="str">
        <x:v>Aprobados (documentados)</x:v>
      </x:c>
      <x:c r="D5" s="76"/>
      <x:c r="E5" s="76" t="str">
        <x:v>Por validar</x:v>
      </x:c>
      <x:c r="F5" s="76"/>
      <x:c r="G5" s="76" t="str">
        <x:v>Pendientes sin test</x:v>
      </x:c>
      <x:c r="H5" s="35"/>
    </x:row>
    <x:row r="6" ht="46" customHeight="1">
      <x:c r="A6" s="78" t="n">
        <x:f>COUNTA('Plan de pruebas'!$A$6:$A$128)</x:f>
        <x:v>123</x:v>
      </x:c>
      <x:c r="B6" s="78"/>
      <x:c r="C6" s="78" t="n">
        <x:f>COUNTIF('Plan de pruebas'!$J$6:$J$128,"Aprobada")</x:f>
        <x:v>113</x:v>
      </x:c>
      <x:c r="D6" s="78"/>
      <x:c r="E6" s="78" t="n">
        <x:f>COUNTIF('Plan de pruebas'!$J$6:$J$128,"Por validar")</x:f>
        <x:v>0</x:v>
      </x:c>
      <x:c r="F6" s="78"/>
      <x:c r="G6" s="78" t="n">
        <x:f>COUNTIF('Plan de pruebas'!$J$6:$J$128,"Pendiente")</x:f>
        <x:v>10</x:v>
      </x:c>
      <x:c r="H6" s="41"/>
    </x:row>
    <x:row r="7" ht="26" customHeight="1">
      <x:c r="A7" s="41"/>
      <x:c r="B7" s="41"/>
      <x:c r="C7" s="41"/>
      <x:c r="D7" s="41"/>
      <x:c r="E7" s="41"/>
      <x:c r="F7" s="41"/>
      <x:c r="G7" s="41"/>
      <x:c r="H7" s="41"/>
    </x:row>
    <x:row r="9" ht="30" customHeight="1">
      <x:c r="A9" s="76" t="str">
        <x:v>Mantenedor</x:v>
      </x:c>
      <x:c r="B9" s="76" t="str">
        <x:v>Responsable</x:v>
      </x:c>
      <x:c r="C9" s="76" t="str">
        <x:v>HU</x:v>
      </x:c>
      <x:c r="D9" s="76" t="str">
        <x:v>Casos definidos</x:v>
      </x:c>
      <x:c r="E9" s="76" t="str">
        <x:v>Estado del lote</x:v>
      </x:c>
    </x:row>
    <x:row r="10" ht="25" customHeight="1">
      <x:c r="A10" s="46" t="str">
        <x:v>Delegación</x:v>
      </x:c>
      <x:c r="B10" s="46" t="str">
        <x:v>Brian</x:v>
      </x:c>
      <x:c r="C10" s="46" t="str">
        <x:v>HU17</x:v>
      </x:c>
      <x:c r="D10" s="46" t="n">
        <x:v>13</x:v>
      </x:c>
      <x:c r="E10" s="46" t="str">
        <x:v>Aprobado · develop</x:v>
      </x:c>
    </x:row>
    <x:row r="11" ht="25" customHeight="1">
      <x:c r="A11" s="46" t="str">
        <x:v>Área</x:v>
      </x:c>
      <x:c r="B11" s="46" t="str">
        <x:v>Brian</x:v>
      </x:c>
      <x:c r="C11" s="46" t="str">
        <x:v>HU17</x:v>
      </x:c>
      <x:c r="D11" s="46" t="n">
        <x:v>17</x:v>
      </x:c>
      <x:c r="E11" s="46" t="str">
        <x:v>Aprobado · develop</x:v>
      </x:c>
    </x:row>
    <x:row r="12" ht="25" customHeight="1">
      <x:c r="A12" s="46" t="str">
        <x:v>Cargo</x:v>
      </x:c>
      <x:c r="B12" s="46" t="str">
        <x:v>Brian</x:v>
      </x:c>
      <x:c r="C12" s="46" t="str">
        <x:v>HU17</x:v>
      </x:c>
      <x:c r="D12" s="46" t="n">
        <x:v>12</x:v>
      </x:c>
      <x:c r="E12" s="46" t="str">
        <x:v>Aprobado · develop</x:v>
      </x:c>
    </x:row>
    <x:row r="13" ht="25" customHeight="1">
      <x:c r="A13" s="46" t="str">
        <x:v>Usuario</x:v>
      </x:c>
      <x:c r="B13" s="46" t="str">
        <x:v>Patricio</x:v>
      </x:c>
      <x:c r="C13" s="46" t="str">
        <x:v>HU18, HU19</x:v>
      </x:c>
      <x:c r="D13" s="46" t="n">
        <x:v>18</x:v>
      </x:c>
      <x:c r="E13" s="46" t="str">
        <x:v>Aprobado · develop</x:v>
      </x:c>
    </x:row>
    <x:row r="14" ht="25" customHeight="1">
      <x:c r="A14" s="46" t="str">
        <x:v>Funcionario</x:v>
      </x:c>
      <x:c r="B14" s="46" t="str">
        <x:v>Fernando</x:v>
      </x:c>
      <x:c r="C14" s="46" t="str">
        <x:v>HU18</x:v>
      </x:c>
      <x:c r="D14" s="46" t="n">
        <x:v>13</x:v>
      </x:c>
      <x:c r="E14" s="46" t="str">
        <x:v>Aprobado · develop</x:v>
      </x:c>
    </x:row>
    <x:row r="15" ht="25" customHeight="1">
      <x:c r="A15" s="46" t="str">
        <x:v>Vecino</x:v>
      </x:c>
      <x:c r="B15" s="46" t="str">
        <x:v>Pamela</x:v>
      </x:c>
      <x:c r="C15" s="46" t="str">
        <x:v>HU27</x:v>
      </x:c>
      <x:c r="D15" s="46" t="n">
        <x:v>5</x:v>
      </x:c>
      <x:c r="E15" s="46" t="str">
        <x:v>Aprobado · develop</x:v>
      </x:c>
    </x:row>
    <x:row r="16" ht="25" customHeight="1">
      <x:c r="A16" s="46" t="str">
        <x:v>Territorio</x:v>
      </x:c>
      <x:c r="B16" s="46" t="str">
        <x:v>Pamela</x:v>
      </x:c>
      <x:c r="C16" s="46" t="str">
        <x:v>HU28</x:v>
      </x:c>
      <x:c r="D16" s="46" t="n">
        <x:v>5</x:v>
      </x:c>
      <x:c r="E16" s="46" t="str">
        <x:v>Aprobado · develop</x:v>
      </x:c>
    </x:row>
    <x:row r="17" ht="25" customHeight="1">
      <x:c r="A17" s="46" t="str">
        <x:v>Junta de vecinos</x:v>
      </x:c>
      <x:c r="B17" s="46" t="str">
        <x:v>Pamela</x:v>
      </x:c>
      <x:c r="C17" s="46" t="str">
        <x:v>HU28</x:v>
      </x:c>
      <x:c r="D17" s="46" t="n">
        <x:v>5</x:v>
      </x:c>
      <x:c r="E17" s="46" t="str">
        <x:v>Aprobado · develop</x:v>
      </x:c>
    </x:row>
    <x:row r="18" ht="25" customHeight="1">
      <x:c r="A18" s="46" t="str">
        <x:v>Periodo</x:v>
      </x:c>
      <x:c r="B18" s="46" t="str">
        <x:v>Valentina</x:v>
      </x:c>
      <x:c r="C18" s="46" t="str">
        <x:v>HU09</x:v>
      </x:c>
      <x:c r="D18" s="46" t="n">
        <x:v>6</x:v>
      </x:c>
      <x:c r="E18" s="46" t="str">
        <x:v>Aprobado · develop</x:v>
      </x:c>
    </x:row>
    <x:row r="19" ht="25" customHeight="1">
      <x:c r="A19" s="46" t="str">
        <x:v>Ítem</x:v>
      </x:c>
      <x:c r="B19" s="46" t="str">
        <x:v>Valentina</x:v>
      </x:c>
      <x:c r="C19" s="46" t="str">
        <x:v>HU09, HU29</x:v>
      </x:c>
      <x:c r="D19" s="46" t="n">
        <x:v>5</x:v>
      </x:c>
      <x:c r="E19" s="46" t="str">
        <x:v>Aprobado · develop</x:v>
      </x:c>
    </x:row>
    <x:row r="20" ht="25" customHeight="1">
      <x:c r="A20" s="46" t="str">
        <x:v>Integración</x:v>
      </x:c>
      <x:c r="B20" s="46" t="str">
        <x:v>Brian</x:v>
      </x:c>
      <x:c r="C20" s="46" t="str">
        <x:v>HU17, HU19</x:v>
      </x:c>
      <x:c r="D20" s="46" t="n">
        <x:v>14</x:v>
      </x:c>
      <x:c r="E20" s="46" t="str">
        <x:v>Aprobado · develop</x:v>
      </x:c>
    </x:row>
    <x:row r="21" ht="25" customHeight="1">
      <x:c r="A21" s="46" t="str">
        <x:v>Meta delegación</x:v>
      </x:c>
      <x:c r="B21" s="46" t="str">
        <x:v>Fernando</x:v>
      </x:c>
      <x:c r="C21" s="46" t="str">
        <x:v>Por confirmar</x:v>
      </x:c>
      <x:c r="D21" s="46" t="n">
        <x:v>5</x:v>
      </x:c>
      <x:c r="E21" s="46" t="str">
        <x:v>Pendiente de desarrollo</x:v>
      </x:c>
    </x:row>
    <x:row r="22" ht="25" customHeight="1">
      <x:c r="A22" s="46" t="str">
        <x:v>Meta</x:v>
      </x:c>
      <x:c r="B22" s="46" t="str">
        <x:v>Fernando</x:v>
      </x:c>
      <x:c r="C22" s="46" t="str">
        <x:v>Por confirmar</x:v>
      </x:c>
      <x:c r="D22" s="46" t="n">
        <x:v>5</x:v>
      </x:c>
      <x:c r="E22" s="46" t="str">
        <x:v>Pendiente de desarrollo</x:v>
      </x:c>
    </x:row>
    <x:row r="25" ht="36" customHeight="1">
      <x:c r="A25" s="35" t="str">
        <x:v>Ejecución reportada por Copilot desde develop actualizado el 22-10-2026 (respaldo previo de SQLite y migración metas.0002_item aplicada).</x:v>
      </x:c>
      <x:c r="B25" s="35" t="str"/>
      <x:c r="C25" s="35" t="str"/>
      <x:c r="D25" s="35" t="str"/>
      <x:c r="E25" s="35" t="str"/>
      <x:c r="F25" s="35" t="str"/>
      <x:c r="G25" s="35" t="str"/>
      <x:c r="H25" s="34" t="str"/>
    </x:row>
    <x:row r="26" ht="36" customHeight="1">
      <x:c r="A26" s="49" t="str">
        <x:v>python manage.py check → 0 incidencias. python manage.py test → 210 pruebas, OK, 0 fallidas, 0 omitidas.</x:v>
      </x:c>
      <x:c r="B26" s="49"/>
      <x:c r="C26" s="49"/>
      <x:c r="D26" s="49"/>
      <x:c r="E26" s="49"/>
      <x:c r="F26" s="49"/>
      <x:c r="G26" s="49"/>
      <x:c r="H26" s="49"/>
    </x:row>
    <x:row r="27" ht="36" customHeight="1">
      <x:c r="A27" s="49" t="str">
        <x:v>Suites por módulo: territorio 15 OK; organizacion 127 OK; personas 31 OK; metas 11 OK. Total parcial 184; el resto de la suite general incluye otras aplicaciones.</x:v>
      </x:c>
      <x:c r="B27" s="49"/>
      <x:c r="C27" s="49"/>
      <x:c r="D27" s="49"/>
      <x:c r="E27" s="49"/>
      <x:c r="F27" s="49"/>
      <x:c r="G27" s="49"/>
      <x:c r="H27" s="49"/>
    </x:row>
    <x:row r="28" ht="36" customHeight="1">
      <x:c r="A28" s="49" t="str">
        <x:v>113 filas del plan corresponden a funciones test_*.py identificadas en los 11 archivos requeridos; NO equivalen a las 210 pruebas de toda la aplicación.</x:v>
      </x:c>
      <x:c r="B28" s="49"/>
      <x:c r="C28" s="49"/>
      <x:c r="D28" s="49"/>
      <x:c r="E28" s="49"/>
      <x:c r="F28" s="49"/>
      <x:c r="G28" s="49"/>
      <x:c r="H28" s="49"/>
    </x:row>
    <x:row r="29" ht="36" customHeight="1">
      <x:c r="A29" s="49" t="str">
        <x:v>10 casos planificados PU-MDE y PU-MET continúan Pendiente; no son pruebas ejecutadas ni fallidas. Brian añadirá PF- de pantalla.</x:v>
      </x:c>
      <x:c r="B29" s="49"/>
      <x:c r="C29" s="49"/>
      <x:c r="D29" s="49"/>
      <x:c r="E29" s="49"/>
      <x:c r="F29" s="49"/>
      <x:c r="G29" s="49"/>
      <x:c r="H29" s="49"/>
    </x:row>
    <x:row r="30" ht="36" customHeight="1">
      <x:c r="A30" s="49" t="str">
        <x:v>PR #9 de los tres mantenedores confirmado integrado en develop; la tarea pendiente de Pamela es entregar SCRUM-57 en docs/ del repositorio.</x:v>
      </x:c>
      <x:c r="B30" s="49"/>
      <x:c r="C30" s="49"/>
      <x:c r="D30" s="49"/>
      <x:c r="E30" s="49"/>
      <x:c r="F30" s="49"/>
      <x:c r="G30" s="49"/>
      <x:c r="H30" s="49"/>
    </x:row>
    <x:row r="31" ht="36" customHeight="1">
      <x:c r="A31" s="49" t="str">
        <x:v>Fuente: salida de Copilot compartida por Pamela (22-10-2026) y código en GitHub/develop. Los resultados no fueron ejecutados nuevamente por este documento.</x:v>
      </x:c>
      <x:c r="B31" s="49"/>
      <x:c r="C31" s="49"/>
      <x:c r="D31" s="49"/>
      <x:c r="E31" s="49"/>
      <x:c r="F31" s="49"/>
      <x:c r="G31" s="49"/>
      <x:c r="H31" s="49"/>
    </x:row>
  </x:sheetData>
  <x:mergeCells>
    <x:mergeCell ref="A1:H2"/>
    <x:mergeCell ref="A3:H3"/>
    <x:mergeCell ref="A5:B5"/>
    <x:mergeCell ref="A6:B7"/>
    <x:mergeCell ref="C5:D5"/>
    <x:mergeCell ref="C6:D7"/>
    <x:mergeCell ref="E5:F5"/>
    <x:mergeCell ref="E6:F7"/>
    <x:mergeCell ref="G5:H5"/>
    <x:mergeCell ref="G6:H7"/>
    <x:mergeCell ref="A25:H25"/>
    <x:mergeCell ref="A26:H26"/>
    <x:mergeCell ref="A27:H27"/>
    <x:mergeCell ref="A28:H28"/>
    <x:mergeCell ref="A29:H29"/>
    <x:mergeCell ref="A30:H30"/>
    <x:mergeCell ref="A31:H3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9" hidden="0" customWidth="1"/>
    <x:col min="5" max="5" width="48" hidden="0" customWidth="1"/>
    <x:col min="6" max="6" width="87" hidden="0" customWidth="1"/>
  </x:cols>
  <x:sheetData>
    <x:row r="1">
      <x:c r="A1" s="52" t="str">
        <x:v>Fuentes de pruebas y responsables</x:v>
      </x:c>
      <x:c r="B1" s="52"/>
      <x:c r="C1" s="52"/>
      <x:c r="D1" s="52"/>
      <x:c r="E1" s="52"/>
      <x:c r="F1" s="52"/>
    </x:row>
    <x:row r="2">
      <x:c r="A2" s="52"/>
      <x:c r="B2" s="52"/>
      <x:c r="C2" s="52"/>
      <x:c r="D2" s="52"/>
      <x:c r="E2" s="52"/>
      <x:c r="F2" s="52"/>
    </x:row>
    <x:row r="4" ht="32" customHeight="1">
      <x:c r="A4" s="34" t="str">
        <x:v>Mantenedor</x:v>
      </x:c>
      <x:c r="B4" s="34" t="str">
        <x:v>Responsable</x:v>
      </x:c>
      <x:c r="C4" s="34" t="str">
        <x:v>HU</x:v>
      </x:c>
      <x:c r="D4" s="34" t="str">
        <x:v>Pruebas en código</x:v>
      </x:c>
      <x:c r="E4" s="34" t="str">
        <x:v>Archivo de prueba</x:v>
      </x:c>
      <x:c r="F4" s="34" t="str">
        <x:v>URL de referencia</x:v>
      </x:c>
    </x:row>
    <x:row r="5" ht="33" customHeight="1">
      <x:c r="A5" s="46" t="str">
        <x:v>Delegación</x:v>
      </x:c>
      <x:c r="B5" s="46" t="str">
        <x:v>Brian</x:v>
      </x:c>
      <x:c r="C5" s="46" t="str">
        <x:v>HU17</x:v>
      </x:c>
      <x:c r="D5" s="46" t="n">
        <x:v>13</x:v>
      </x:c>
      <x:c r="E5" s="46" t="str">
        <x:v>organizacion/tests/test_delegacion.py</x:v>
      </x:c>
      <x:c r="F5" s="46" t="str">
        <x:v>https://github.com/Superdev1910/terriia/blob/develop/organizacion/tests/test_delegacion.py</x:v>
      </x:c>
    </x:row>
    <x:row r="6" ht="33" customHeight="1">
      <x:c r="A6" s="46" t="str">
        <x:v>Área</x:v>
      </x:c>
      <x:c r="B6" s="46" t="str">
        <x:v>Brian</x:v>
      </x:c>
      <x:c r="C6" s="46" t="str">
        <x:v>HU17</x:v>
      </x:c>
      <x:c r="D6" s="46" t="n">
        <x:v>17</x:v>
      </x:c>
      <x:c r="E6" s="46" t="str">
        <x:v>organizacion/tests/test_area.py</x:v>
      </x:c>
      <x:c r="F6" s="46" t="str">
        <x:v>https://github.com/Superdev1910/terriia/blob/develop/organizacion/tests/test_area.py</x:v>
      </x:c>
    </x:row>
    <x:row r="7" ht="33" customHeight="1">
      <x:c r="A7" s="46" t="str">
        <x:v>Cargo</x:v>
      </x:c>
      <x:c r="B7" s="46" t="str">
        <x:v>Brian</x:v>
      </x:c>
      <x:c r="C7" s="46" t="str">
        <x:v>HU17</x:v>
      </x:c>
      <x:c r="D7" s="46" t="n">
        <x:v>12</x:v>
      </x:c>
      <x:c r="E7" s="46" t="str">
        <x:v>organizacion/tests/test_cargo.py</x:v>
      </x:c>
      <x:c r="F7" s="46" t="str">
        <x:v>https://github.com/Superdev1910/terriia/blob/develop/organizacion/tests/test_cargo.py</x:v>
      </x:c>
    </x:row>
    <x:row r="8" ht="33" customHeight="1">
      <x:c r="A8" s="46" t="str">
        <x:v>Usuario</x:v>
      </x:c>
      <x:c r="B8" s="46" t="str">
        <x:v>Patricio</x:v>
      </x:c>
      <x:c r="C8" s="46" t="str">
        <x:v>HU18, HU19</x:v>
      </x:c>
      <x:c r="D8" s="46" t="n">
        <x:v>18</x:v>
      </x:c>
      <x:c r="E8" s="46" t="str">
        <x:v>personas/tests/test_usuario.py</x:v>
      </x:c>
      <x:c r="F8" s="46" t="str">
        <x:v>https://github.com/Superdev1910/terriia/blob/develop/personas/tests/test_usuario.py</x:v>
      </x:c>
    </x:row>
    <x:row r="9" ht="33" customHeight="1">
      <x:c r="A9" s="46" t="str">
        <x:v>Funcionario</x:v>
      </x:c>
      <x:c r="B9" s="46" t="str">
        <x:v>Fernando</x:v>
      </x:c>
      <x:c r="C9" s="46" t="str">
        <x:v>HU18</x:v>
      </x:c>
      <x:c r="D9" s="46" t="n">
        <x:v>13</x:v>
      </x:c>
      <x:c r="E9" s="46" t="str">
        <x:v>personas/tests/test_funcionario.py</x:v>
      </x:c>
      <x:c r="F9" s="46" t="str">
        <x:v>https://github.com/Superdev1910/terriia/blob/develop/personas/tests/test_funcionario.py</x:v>
      </x:c>
    </x:row>
    <x:row r="10" ht="33" customHeight="1">
      <x:c r="A10" s="46" t="str">
        <x:v>Vecino</x:v>
      </x:c>
      <x:c r="B10" s="46" t="str">
        <x:v>Pamela</x:v>
      </x:c>
      <x:c r="C10" s="46" t="str">
        <x:v>HU27</x:v>
      </x:c>
      <x:c r="D10" s="46" t="n">
        <x:v>5</x:v>
      </x:c>
      <x:c r="E10" s="46" t="str">
        <x:v>territorio/tests/test_vecino.py</x:v>
      </x:c>
      <x:c r="F10" s="46" t="str">
        <x:v>https://github.com/Superdev1910/terriia/blob/develop/territorio/tests/test_vecino.py</x:v>
      </x:c>
    </x:row>
    <x:row r="11" ht="33" customHeight="1">
      <x:c r="A11" s="46" t="str">
        <x:v>Territorio</x:v>
      </x:c>
      <x:c r="B11" s="46" t="str">
        <x:v>Pamela</x:v>
      </x:c>
      <x:c r="C11" s="46" t="str">
        <x:v>HU28</x:v>
      </x:c>
      <x:c r="D11" s="46" t="n">
        <x:v>5</x:v>
      </x:c>
      <x:c r="E11" s="46" t="str">
        <x:v>territorio/tests/test_territorio.py</x:v>
      </x:c>
      <x:c r="F11" s="46" t="str">
        <x:v>https://github.com/Superdev1910/terriia/blob/develop/territorio/tests/test_territorio.py</x:v>
      </x:c>
    </x:row>
    <x:row r="12" ht="33" customHeight="1">
      <x:c r="A12" s="46" t="str">
        <x:v>Junta de vecinos</x:v>
      </x:c>
      <x:c r="B12" s="46" t="str">
        <x:v>Pamela</x:v>
      </x:c>
      <x:c r="C12" s="46" t="str">
        <x:v>HU28</x:v>
      </x:c>
      <x:c r="D12" s="46" t="n">
        <x:v>5</x:v>
      </x:c>
      <x:c r="E12" s="46" t="str">
        <x:v>territorio/tests/test_junta_vecinos.py</x:v>
      </x:c>
      <x:c r="F12" s="46" t="str">
        <x:v>https://github.com/Superdev1910/terriia/blob/develop/territorio/tests/test_junta_vecinos.py</x:v>
      </x:c>
    </x:row>
    <x:row r="13" ht="33" customHeight="1">
      <x:c r="A13" s="46" t="str">
        <x:v>Periodo</x:v>
      </x:c>
      <x:c r="B13" s="46" t="str">
        <x:v>Valentina</x:v>
      </x:c>
      <x:c r="C13" s="46" t="str">
        <x:v>HU09</x:v>
      </x:c>
      <x:c r="D13" s="46" t="n">
        <x:v>6</x:v>
      </x:c>
      <x:c r="E13" s="46" t="str">
        <x:v>metas/tests/test_periodo.py</x:v>
      </x:c>
      <x:c r="F13" s="46" t="str">
        <x:v>https://github.com/Superdev1910/terriia/blob/develop/metas/tests/test_periodo.py</x:v>
      </x:c>
    </x:row>
    <x:row r="14" ht="33" customHeight="1">
      <x:c r="A14" s="46" t="str">
        <x:v>Ítem</x:v>
      </x:c>
      <x:c r="B14" s="46" t="str">
        <x:v>Valentina</x:v>
      </x:c>
      <x:c r="C14" s="46" t="str">
        <x:v>HU09, HU29</x:v>
      </x:c>
      <x:c r="D14" s="46" t="n">
        <x:v>5</x:v>
      </x:c>
      <x:c r="E14" s="46" t="str">
        <x:v>metas/tests/test_item.py</x:v>
      </x:c>
      <x:c r="F14" s="46" t="str">
        <x:v>https://github.com/Superdev1910/terriia/blob/develop/metas/tests/test_item.py</x:v>
      </x:c>
    </x:row>
    <x:row r="15" ht="33" customHeight="1">
      <x:c r="A15" s="46" t="str">
        <x:v>Integración</x:v>
      </x:c>
      <x:c r="B15" s="46" t="str">
        <x:v>Brian</x:v>
      </x:c>
      <x:c r="C15" s="46" t="str">
        <x:v>HU17, HU19</x:v>
      </x:c>
      <x:c r="D15" s="46" t="n">
        <x:v>14</x:v>
      </x:c>
      <x:c r="E15" s="46" t="str">
        <x:v>organizacion/tests/test_integracion.py</x:v>
      </x:c>
      <x:c r="F15" s="46" t="str">
        <x:v>https://github.com/Superdev1910/terriia/blob/develop/organizacion/tests/test_integracion.py</x:v>
      </x:c>
    </x:row>
    <x:row r="16" ht="33" customHeight="1">
      <x:c r="A16" s="46" t="str">
        <x:v>Meta delegación</x:v>
      </x:c>
      <x:c r="B16" s="46" t="str">
        <x:v>Fernando</x:v>
      </x:c>
      <x:c r="C16" s="46" t="str">
        <x:v>Por confirmar</x:v>
      </x:c>
      <x:c r="D16" s="46" t="str">
        <x:v>No existe</x:v>
      </x:c>
      <x:c r="E16" s="46" t="str">
        <x:v>Archivo pendiente</x:v>
      </x:c>
      <x:c r="F16" s="46" t="str"/>
    </x:row>
    <x:row r="17" ht="33" customHeight="1">
      <x:c r="A17" s="46" t="str">
        <x:v>Meta</x:v>
      </x:c>
      <x:c r="B17" s="46" t="str">
        <x:v>Fernando</x:v>
      </x:c>
      <x:c r="C17" s="46" t="str">
        <x:v>Por confirmar</x:v>
      </x:c>
      <x:c r="D17" s="46" t="str">
        <x:v>No existe</x:v>
      </x:c>
      <x:c r="E17" s="46" t="str">
        <x:v>Archivo pendiente</x:v>
      </x:c>
      <x:c r="F17" s="46" t="str"/>
    </x:row>
  </x:sheetData>
  <x:mergeCells>
    <x:mergeCell ref="A1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5" hidden="0" customWidth="1"/>
    <x:col min="2" max="2" width="116" hidden="0" customWidth="1"/>
    <x:col min="3" max="3" width="31" hidden="0" customWidth="1"/>
  </x:cols>
  <x:sheetData>
    <x:row r="1">
      <x:c r="A1" s="52" t="str">
        <x:v>Cómo terminar y entregar el Excel</x:v>
      </x:c>
      <x:c r="B1" s="52"/>
      <x:c r="C1" s="52"/>
      <x:c r="D1" s="52"/>
      <x:c r="E1" s="52"/>
      <x:c r="F1" s="52"/>
    </x:row>
    <x:row r="2">
      <x:c r="A2" s="52"/>
      <x:c r="B2" s="52"/>
      <x:c r="C2" s="52"/>
      <x:c r="D2" s="52"/>
      <x:c r="E2" s="52"/>
      <x:c r="F2" s="52"/>
    </x:row>
    <x:row r="4" ht="32" customHeight="1">
      <x:c r="A4" s="34" t="str">
        <x:v>Paso</x:v>
      </x:c>
      <x:c r="B4" s="34" t="str">
        <x:v>Instrucción / criterio</x:v>
      </x:c>
      <x:c r="C4" s="34" t="str">
        <x:v>Evidencia</x:v>
      </x:c>
    </x:row>
    <x:row r="5" ht="55" customHeight="1">
      <x:c r="A5" s="54" t="str">
        <x:v>1. Revisar develop</x:v>
      </x:c>
      <x:c r="B5" s="54" t="str">
        <x:v>Completado: develop actualizado con git pull --ff-only origin develop. Rama local develop; 19 commits incorporados, sin reset ni cambios de código.</x:v>
      </x:c>
      <x:c r="C5" s="54" t="str">
        <x:v>Salida de Copilot, 22-10-2026</x:v>
      </x:c>
    </x:row>
    <x:row r="6" ht="55" customHeight="1">
      <x:c r="A6" s="54" t="str">
        <x:v>2. Proteger datos locales</x:v>
      </x:c>
      <x:c r="B6" s="54" t="str">
        <x:v>Completado: respaldo de db.sqlite3 en .local-backups/ con SHA-256 comprobado antes de aplicar migraciones. No se borró db.sqlite3.</x:v>
      </x:c>
      <x:c r="C6" s="54" t="str">
        <x:v>Respaldo local verificado</x:v>
      </x:c>
    </x:row>
    <x:row r="7" ht="55" customHeight="1">
      <x:c r="A7" s="54" t="str">
        <x:v>3. Instalar / activar entorno</x:v>
      </x:c>
      <x:c r="B7" s="54" t="str">
        <x:v>Entorno .venv utilizado para los comandos de Django y pruebas. Mantener activo este entorno en próximas verificaciones.</x:v>
      </x:c>
      <x:c r="C7" s="54" t="str">
        <x:v>Entorno local de Pamela</x:v>
      </x:c>
    </x:row>
    <x:row r="8" ht="55" customHeight="1">
      <x:c r="A8" s="54" t="str">
        <x:v>4. Validar modelos</x:v>
      </x:c>
      <x:c r="B8" s="54" t="str">
        <x:v>python manage.py check → OK (0 incidencias). showmigrations: personas y territorio al día; se aplicó metas.0002_item solo en SQLite local.</x:v>
      </x:c>
      <x:c r="C8" s="54" t="str">
        <x:v>Muestra reportada por Copilot</x:v>
      </x:c>
    </x:row>
    <x:row r="9" ht="55" customHeight="1">
      <x:c r="A9" s="54" t="str">
        <x:v>5. Validar módulo propio</x:v>
      </x:c>
      <x:c r="B9" s="54" t="str">
        <x:v>python manage.py test territorio → 15 pruebas OK, 0 fallidas, 0 omitidas (22-10-2026).</x:v>
      </x:c>
      <x:c r="C9" s="54" t="str">
        <x:v>15/15 OK</x:v>
      </x:c>
    </x:row>
    <x:row r="10" ht="55" customHeight="1">
      <x:c r="A10" s="54" t="str">
        <x:v>6. Validar todo el equipo</x:v>
      </x:c>
      <x:c r="B10" s="54" t="str">
        <x:v>python manage.py test → 210 pruebas OK, 0 fallidas, 0 omitidas (22-10-2026). Por módulo: organizacion 127, personas 31, metas 11, territorio 15.</x:v>
      </x:c>
      <x:c r="C10" s="54" t="str">
        <x:v>210/210 OK</x:v>
      </x:c>
    </x:row>
    <x:row r="11" ht="55" customHeight="1">
      <x:c r="A11" s="54" t="str">
        <x:v>7. Actualizar resultados</x:v>
      </x:c>
      <x:c r="B11" s="54" t="str">
        <x:v>Actualizado: 113 casos con test_*.py figuran Aprobada; fecha y suite de origen consignadas. Los 10 sin test se mantienen Pendiente.</x:v>
      </x:c>
      <x:c r="C11" s="54" t="str">
        <x:v>113 aprobadas; 10 pendientes</x:v>
      </x:c>
    </x:row>
    <x:row r="12" ht="55" customHeight="1">
      <x:c r="A12" s="54" t="str">
        <x:v>8. Solicitar evidencias del equipo</x:v>
      </x:c>
      <x:c r="B12" s="54" t="str">
        <x:v>Los resultados de cada módulo provienen de la ejecución de Copilot en develop. Solicitar a responsables evidencia adicional solo si requieren capturas o casos nuevos.</x:v>
      </x:c>
      <x:c r="C12" s="54" t="str">
        <x:v>Pendiente de evidencias adicionales</x:v>
      </x:c>
    </x:row>
    <x:row r="13" ht="55" customHeight="1">
      <x:c r="A13" s="54" t="str">
        <x:v>9. Mantener pendientes</x:v>
      </x:c>
      <x:c r="B13" s="54" t="str">
        <x:v>Mantener 5 casos PU-MDE y 5 PU-MET en Pendiente hasta que se implementen. Agregar PF- de Brian cuando estén disponibles.</x:v>
      </x:c>
      <x:c r="C13" s="54" t="str">
        <x:v>10 casos sin implementar</x:v>
      </x:c>
    </x:row>
    <x:row r="14" ht="55" customHeight="1">
      <x:c r="A14" s="54" t="str">
        <x:v>10. Entregar</x:v>
      </x:c>
      <x:c r="B14" s="54" t="str">
        <x:v>Enviar el Excel a Patricio; para versionar, crear rama nueva desde develop y subir solo docs/plan-de-pruebas-terriia.xlsx mediante PR a develop.</x:v>
      </x:c>
      <x:c r="C14" s="54" t="str">
        <x:v>Listo para revisión/entrega</x:v>
      </x:c>
    </x:row>
  </x:sheetData>
  <x:mergeCells>
    <x:mergeCell ref="A1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45" hidden="0" customWidth="1"/>
    <x:col min="3" max="3" width="14" hidden="0" customWidth="1"/>
    <x:col min="4" max="4" width="14" hidden="0" customWidth="1"/>
    <x:col min="5" max="5" width="13" hidden="0" customWidth="1"/>
    <x:col min="6" max="6" width="13" hidden="0" customWidth="1"/>
    <x:col min="7" max="7" width="16" hidden="0" customWidth="1"/>
    <x:col min="8" max="8" width="62" hidden="0" customWidth="1"/>
  </x:cols>
  <x:sheetData>
    <x:row r="1" ht="32" customHeight="1">
      <x:c r="A1" s="58" t="str">
        <x:v>SCRUM-57  ·  EVIDENCIA DE EJECUCIÓN — DEVELOP</x:v>
      </x:c>
      <x:c r="B1" s="58"/>
      <x:c r="C1" s="58"/>
      <x:c r="D1" s="58"/>
      <x:c r="E1" s="58"/>
      <x:c r="F1" s="58"/>
      <x:c r="G1" s="58"/>
      <x:c r="H1" s="58"/>
    </x:row>
    <x:row r="2" ht="25" customHeight="1">
      <x:c r="A2" s="60" t="str">
        <x:v>Resultados transcritos del reporte de Copilot compartido por Pamela; entorno local, 22-10-2026.</x:v>
      </x:c>
      <x:c r="B2" s="60"/>
      <x:c r="C2" s="60"/>
      <x:c r="D2" s="60"/>
      <x:c r="E2" s="60"/>
      <x:c r="F2" s="60"/>
      <x:c r="G2" s="60"/>
      <x:c r="H2" s="60"/>
    </x:row>
    <x:row r="4" ht="32" customHeight="1">
      <x:c r="A4" s="63" t="str">
        <x:v>Ámbito</x:v>
      </x:c>
      <x:c r="B4" s="63" t="str">
        <x:v>Comando</x:v>
      </x:c>
      <x:c r="C4" s="63" t="str">
        <x:v>Ejecutadas</x:v>
      </x:c>
      <x:c r="D4" s="63" t="str">
        <x:v>Aprobadas</x:v>
      </x:c>
      <x:c r="E4" s="63" t="str">
        <x:v>Fallidas</x:v>
      </x:c>
      <x:c r="F4" s="63" t="str">
        <x:v>Omitidas</x:v>
      </x:c>
      <x:c r="G4" s="63" t="str">
        <x:v>Resultado</x:v>
      </x:c>
      <x:c r="H4" s="63" t="str">
        <x:v>Observaciones</x:v>
      </x:c>
    </x:row>
    <x:row r="5" ht="34" customHeight="1">
      <x:c r="A5" s="46" t="str">
        <x:v>Verificación de Django</x:v>
      </x:c>
      <x:c r="B5" s="46" t="str">
        <x:v>python manage.py check</x:v>
      </x:c>
      <x:c r="C5" s="46"/>
      <x:c r="D5" s="46"/>
      <x:c r="E5" s="46"/>
      <x:c r="F5" s="46"/>
      <x:c r="G5" s="46" t="str">
        <x:v>OK</x:v>
      </x:c>
      <x:c r="H5" s="46" t="str">
        <x:v>0 incidencias (0 silenced)</x:v>
      </x:c>
    </x:row>
    <x:row r="6" ht="34" customHeight="1">
      <x:c r="A6" s="46" t="str">
        <x:v>Territorio</x:v>
      </x:c>
      <x:c r="B6" s="46" t="str">
        <x:v>python manage.py test territorio</x:v>
      </x:c>
      <x:c r="C6" s="46" t="n">
        <x:v>15</x:v>
      </x:c>
      <x:c r="D6" s="46" t="n">
        <x:v>15</x:v>
      </x:c>
      <x:c r="E6" s="46" t="n">
        <x:v>0</x:v>
      </x:c>
      <x:c r="F6" s="46" t="n">
        <x:v>0</x:v>
      </x:c>
      <x:c r="G6" s="46" t="str">
        <x:v>OK</x:v>
      </x:c>
      <x:c r="H6" s="46" t="str">
        <x:v>Vecino, Territorio, Junta de Vecinos</x:v>
      </x:c>
    </x:row>
    <x:row r="7" ht="34" customHeight="1">
      <x:c r="A7" s="46" t="str">
        <x:v>Organización</x:v>
      </x:c>
      <x:c r="B7" s="46" t="str">
        <x:v>python manage.py test organizacion</x:v>
      </x:c>
      <x:c r="C7" s="46" t="n">
        <x:v>127</x:v>
      </x:c>
      <x:c r="D7" s="46" t="n">
        <x:v>127</x:v>
      </x:c>
      <x:c r="E7" s="46" t="n">
        <x:v>0</x:v>
      </x:c>
      <x:c r="F7" s="46" t="n">
        <x:v>0</x:v>
      </x:c>
      <x:c r="G7" s="46" t="str">
        <x:v>OK</x:v>
      </x:c>
      <x:c r="H7" s="46" t="str">
        <x:v>Incluye pruebas del módulo de Organización</x:v>
      </x:c>
    </x:row>
    <x:row r="8" ht="34" customHeight="1">
      <x:c r="A8" s="46" t="str">
        <x:v>Personas</x:v>
      </x:c>
      <x:c r="B8" s="46" t="str">
        <x:v>python manage.py test personas</x:v>
      </x:c>
      <x:c r="C8" s="46" t="n">
        <x:v>31</x:v>
      </x:c>
      <x:c r="D8" s="46" t="n">
        <x:v>31</x:v>
      </x:c>
      <x:c r="E8" s="46" t="n">
        <x:v>0</x:v>
      </x:c>
      <x:c r="F8" s="46" t="n">
        <x:v>0</x:v>
      </x:c>
      <x:c r="G8" s="46" t="str">
        <x:v>OK</x:v>
      </x:c>
      <x:c r="H8" s="46" t="str">
        <x:v>Incluye Usuario y Funcionario</x:v>
      </x:c>
    </x:row>
    <x:row r="9" ht="34" customHeight="1">
      <x:c r="A9" s="46" t="str">
        <x:v>Metas</x:v>
      </x:c>
      <x:c r="B9" s="46" t="str">
        <x:v>python manage.py test metas</x:v>
      </x:c>
      <x:c r="C9" s="46" t="n">
        <x:v>11</x:v>
      </x:c>
      <x:c r="D9" s="46" t="n">
        <x:v>11</x:v>
      </x:c>
      <x:c r="E9" s="46" t="n">
        <x:v>0</x:v>
      </x:c>
      <x:c r="F9" s="46" t="n">
        <x:v>0</x:v>
      </x:c>
      <x:c r="G9" s="46" t="str">
        <x:v>OK</x:v>
      </x:c>
      <x:c r="H9" s="46" t="str">
        <x:v>Incluye Periodo e Ítem; no confundir con casos sin desarrollar</x:v>
      </x:c>
    </x:row>
    <x:row r="10" ht="39" customHeight="1">
      <x:c r="A10" s="65" t="str">
        <x:v>Suite completa</x:v>
      </x:c>
      <x:c r="B10" s="65" t="str">
        <x:v>python manage.py test</x:v>
      </x:c>
      <x:c r="C10" s="65" t="n">
        <x:v>210</x:v>
      </x:c>
      <x:c r="D10" s="65" t="n">
        <x:v>210</x:v>
      </x:c>
      <x:c r="E10" s="65" t="n">
        <x:v>0</x:v>
      </x:c>
      <x:c r="F10" s="65" t="n">
        <x:v>0</x:v>
      </x:c>
      <x:c r="G10" s="65" t="str">
        <x:v>OK</x:v>
      </x:c>
      <x:c r="H10" s="65" t="str">
        <x:v>Todas las aplicaciones; 0 pruebas omitidas</x:v>
      </x:c>
    </x:row>
    <x:row r="11" ht="37" customHeight="1">
      <x:c r="A11" s="46" t="str">
        <x:v>Subtotal cuatro módulos</x:v>
      </x:c>
      <x:c r="B11" s="46" t="str">
        <x:v>Suma de las suites ejecutadas separadamente</x:v>
      </x:c>
      <x:c r="C11" s="46" t="n">
        <x:f>SUM(C6:C9)</x:f>
        <x:v>184</x:v>
      </x:c>
      <x:c r="D11" s="46" t="n">
        <x:f>SUM(D6:D9)</x:f>
        <x:v>184</x:v>
      </x:c>
      <x:c r="E11" s="46" t="n">
        <x:f>SUM(E6:E9)</x:f>
        <x:v>0</x:v>
      </x:c>
      <x:c r="F11" s="46" t="n">
        <x:f>SUM(F6:F9)</x:f>
        <x:v>0</x:v>
      </x:c>
      <x:c r="G11" s="46" t="str">
        <x:v>OK</x:v>
      </x:c>
      <x:c r="H11" s="46" t="str">
        <x:v>El subtotal modular no representa el total del proyecto.</x:v>
      </x:c>
    </x:row>
    <x:row r="12" ht="37" customHeight="1">
      <x:c r="A12" s="46" t="str">
        <x:v>Otros tests de la suite</x:v>
      </x:c>
      <x:c r="B12" s="46" t="str">
        <x:v>Diferencia respecto de la suite general (no ejecutada aparte)</x:v>
      </x:c>
      <x:c r="C12" s="46" t="n">
        <x:f>C10-C11</x:f>
        <x:v>26</x:v>
      </x:c>
      <x:c r="D12" s="46" t="n">
        <x:f>D10-D11</x:f>
        <x:v>26</x:v>
      </x:c>
      <x:c r="E12" s="46" t="n">
        <x:f>E10-E11</x:f>
        <x:v>0</x:v>
      </x:c>
      <x:c r="F12" s="46" t="n">
        <x:f>F10-F11</x:f>
        <x:v>0</x:v>
      </x:c>
      <x:c r="G12" s="46" t="str">
        <x:v>Incluidas</x:v>
      </x:c>
      <x:c r="H12" s="46" t="str">
        <x:v>26 pruebas adicionales incluidas en la suite completa de 210.</x:v>
      </x:c>
    </x:row>
    <x:row r="13" ht="34" customHeight="1">
      <x:c r="A13" s="46"/>
      <x:c r="B13" s="46"/>
      <x:c r="C13" s="46"/>
      <x:c r="D13" s="46"/>
      <x:c r="E13" s="46"/>
      <x:c r="F13" s="46"/>
      <x:c r="G13" s="46"/>
      <x:c r="H13" s="46"/>
    </x:row>
    <x:row r="14" ht="34" customHeight="1">
      <x:c r="A14" s="46" t="str">
        <x:v>Migraciones</x:v>
      </x:c>
      <x:c r="B14" s="46" t="str">
        <x:v>python manage.py migrate metas</x:v>
      </x:c>
      <x:c r="C14" s="46"/>
      <x:c r="D14" s="46"/>
      <x:c r="E14" s="46"/>
      <x:c r="F14" s="46"/>
      <x:c r="G14" s="46" t="str">
        <x:v>OK</x:v>
      </x:c>
      <x:c r="H14" s="46" t="str">
        <x:v>Se aplicó metas.0002_item; no se ejecutaron migraciones en MySQL/AWS.</x:v>
      </x:c>
    </x:row>
    <x:row r="15" ht="34" customHeight="1">
      <x:c r="A15" s="46" t="str">
        <x:v>Respaldo SQLite</x:v>
      </x:c>
      <x:c r="B15" s="46" t="str">
        <x:v>Copy-Item db.sqlite3 a .local-backups</x:v>
      </x:c>
      <x:c r="C15" s="46"/>
      <x:c r="D15" s="46"/>
      <x:c r="E15" s="46"/>
      <x:c r="F15" s="46"/>
      <x:c r="G15" s="46" t="str">
        <x:v>OK</x:v>
      </x:c>
      <x:c r="H15" s="46" t="str">
        <x:v>SHA-256 coincidente según reporte de Copilot.</x:v>
      </x:c>
    </x:row>
    <x:row r="17" ht="30" customHeight="1">
      <x:c r="A17" s="67" t="str">
        <x:v>COBERTURA DEL EXCEL: 113 funciones de los 11 archivos pedidos por Patricio; NO significa que las 210 pruebas estén desglosadas en 210 filas.</x:v>
      </x:c>
      <x:c r="B17" s="67"/>
      <x:c r="C17" s="67"/>
      <x:c r="D17" s="67"/>
      <x:c r="E17" s="67"/>
      <x:c r="F17" s="67"/>
      <x:c r="G17" s="67"/>
      <x:c r="H17" s="67"/>
    </x:row>
    <x:row r="18" ht="30" customHeight="1">
      <x:c r="A18" s="67" t="str">
        <x:v>PENDIENTES: 5 PU-MDE + 5 PU-MET aún no implementadas (según guía). No contarlas como ejecutadas ni fallidas.</x:v>
      </x:c>
      <x:c r="B18" s="67"/>
      <x:c r="C18" s="67"/>
      <x:c r="D18" s="67"/>
      <x:c r="E18" s="67"/>
      <x:c r="F18" s="67"/>
      <x:c r="G18" s="67"/>
      <x:c r="H18" s="67"/>
    </x:row>
    <x:row r="20" ht="26" customHeight="1">
      <x:c r="A20" s="68" t="str">
        <x:v>Referencia del proyecto: https://github.com/Superdev1910/terriia/tree/develop</x:v>
      </x:c>
      <x:c r="B20" s="68"/>
      <x:c r="C20" s="68"/>
      <x:c r="D20" s="68"/>
      <x:c r="E20" s="68"/>
      <x:c r="F20" s="68"/>
      <x:c r="G20" s="68"/>
      <x:c r="H20" s="68"/>
    </x:row>
    <x:row r="21" ht="26" customHeight="1">
      <x:c r="A21" s="68" t="str">
        <x:v>Integración de los mantenedores de Pamela: https://github.com/Superdev1910/terriia/pull/9</x:v>
      </x:c>
      <x:c r="B21" s="68"/>
      <x:c r="C21" s="68"/>
      <x:c r="D21" s="68"/>
      <x:c r="E21" s="68"/>
      <x:c r="F21" s="68"/>
      <x:c r="G21" s="68"/>
      <x:c r="H21" s="68"/>
    </x:row>
  </x:sheetData>
  <x:mergeCells>
    <x:mergeCell ref="A1:H1"/>
    <x:mergeCell ref="A2:H2"/>
    <x:mergeCell ref="A17:H17"/>
    <x:mergeCell ref="A18:H18"/>
    <x:mergeCell ref="A20:H20"/>
    <x:mergeCell ref="A21:H21"/>
  </x:mergeCells>
  <x:pageMargins left="0.7" right="0.7" top="0.75" bottom="0.75" header="0.3" footer="0.3"/>
</x:worksheet>
</file>